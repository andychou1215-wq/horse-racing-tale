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對照表" sheetId="2" state="visible" r:id="rId4"/>
    <sheet name="屬性設定" sheetId="3" state="visible" r:id="rId5"/>
    <sheet name="比賽模擬" sheetId="4" state="visible" r:id="rId6"/>
    <sheet name="訓練成長模擬" sheetId="5" state="visible" r:id="rId7"/>
    <sheet name="財務模擬" sheetId="6" state="visible" r:id="rId8"/>
    <sheet name="財務系統進階" sheetId="7" state="visible" r:id="rId9"/>
    <sheet name="繁殖世代模擬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<sst xmlns="http://schemas.openxmlformats.org/spreadsheetml/2006/main" count="342" uniqueCount="251">
  <si>
    <t xml:space="preserve">賽馬模擬遊戲 — 數值平衡試算表</t>
  </si>
  <si>
    <t xml:space="preserve">用途</t>
  </si>
  <si>
    <t xml:space="preserve">把 docs/ 裡已經定案的公式（比賽公式、體力系統、培育系統訓練公式、財務系統）搬進試算表，</t>
  </si>
  <si>
    <t xml:space="preserve">用實際數字跑一遍，檢查數值感覺是否合理，而不是只停留在紙上規則。</t>
  </si>
  <si>
    <t xml:space="preserve">包含分頁</t>
  </si>
  <si>
    <r>
      <rPr>
        <sz val="11"/>
        <color rgb="FF000000"/>
        <rFont val="Arial"/>
        <family val="0"/>
        <charset val="1"/>
      </rPr>
      <t xml:space="preserve">1. </t>
    </r>
    <r>
      <rPr>
        <sz val="11"/>
        <color rgb="FF000000"/>
        <rFont val="Noto Sans CJK SC"/>
        <family val="2"/>
      </rPr>
      <t xml:space="preserve">對照表 — 各項倍率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等級換算表，來源皆為 </t>
    </r>
    <r>
      <rPr>
        <sz val="11"/>
        <color rgb="FF000000"/>
        <rFont val="Arial"/>
        <family val="0"/>
        <charset val="1"/>
      </rPr>
      <t xml:space="preserve">docs </t>
    </r>
    <r>
      <rPr>
        <sz val="11"/>
        <color rgb="FF000000"/>
        <rFont val="Noto Sans CJK SC"/>
        <family val="2"/>
      </rPr>
      <t xml:space="preserve">內已定案的數值。</t>
    </r>
  </si>
  <si>
    <r>
      <rPr>
        <sz val="11"/>
        <color rgb="FF000000"/>
        <rFont val="Arial"/>
        <family val="0"/>
        <charset val="1"/>
      </rPr>
      <t xml:space="preserve">2. </t>
    </r>
    <r>
      <rPr>
        <sz val="11"/>
        <color rgb="FF000000"/>
        <rFont val="Noto Sans CJK SC"/>
        <family val="2"/>
      </rPr>
      <t xml:space="preserve">屬性設定 — </t>
    </r>
    <r>
      <rPr>
        <sz val="11"/>
        <color rgb="FF000000"/>
        <rFont val="Arial"/>
        <family val="0"/>
        <charset val="1"/>
      </rPr>
      <t xml:space="preserve">8 </t>
    </r>
    <r>
      <rPr>
        <sz val="11"/>
        <color rgb="FF000000"/>
        <rFont val="Noto Sans CJK SC"/>
        <family val="2"/>
      </rPr>
      <t xml:space="preserve">匹測試馬的屬性、跑法、戰術、騎師能力輸入區，已預填 </t>
    </r>
    <r>
      <rPr>
        <sz val="11"/>
        <color rgb="FF000000"/>
        <rFont val="Arial"/>
        <family val="0"/>
        <charset val="1"/>
      </rPr>
      <t xml:space="preserve">8 </t>
    </r>
    <r>
      <rPr>
        <sz val="11"/>
        <color rgb="FF000000"/>
        <rFont val="Noto Sans CJK SC"/>
        <family val="2"/>
      </rPr>
      <t xml:space="preserve">種不同類型的範例馬。</t>
    </r>
  </si>
  <si>
    <r>
      <rPr>
        <sz val="11"/>
        <color rgb="FF000000"/>
        <rFont val="Arial"/>
        <family val="0"/>
        <charset val="1"/>
      </rPr>
      <t xml:space="preserve">3. </t>
    </r>
    <r>
      <rPr>
        <sz val="11"/>
        <color rgb="FF000000"/>
        <rFont val="Noto Sans CJK SC"/>
        <family val="2"/>
      </rPr>
      <t xml:space="preserve">比賽模擬 — 依「階段式排名模擬」規則，逐階段計算 </t>
    </r>
    <r>
      <rPr>
        <sz val="11"/>
        <color rgb="FF000000"/>
        <rFont val="Arial"/>
        <family val="0"/>
        <charset val="1"/>
      </rPr>
      <t xml:space="preserve">8 </t>
    </r>
    <r>
      <rPr>
        <sz val="11"/>
        <color rgb="FF000000"/>
        <rFont val="Noto Sans CJK SC"/>
        <family val="2"/>
      </rPr>
      <t xml:space="preserve">匹馬的表現與最終名次。</t>
    </r>
  </si>
  <si>
    <r>
      <rPr>
        <sz val="11"/>
        <color rgb="FF000000"/>
        <rFont val="Arial"/>
        <family val="0"/>
        <charset val="1"/>
      </rPr>
      <t xml:space="preserve">4. </t>
    </r>
    <r>
      <rPr>
        <sz val="11"/>
        <color rgb="FF000000"/>
        <rFont val="Noto Sans CJK SC"/>
        <family val="2"/>
      </rPr>
      <t xml:space="preserve">訓練成長模擬 — 單一屬性連續多週訓練後的成長曲線，檢查多久能練到潛力上限附近。</t>
    </r>
  </si>
  <si>
    <r>
      <rPr>
        <sz val="11"/>
        <color rgb="FF000000"/>
        <rFont val="Arial"/>
        <family val="0"/>
        <charset val="1"/>
      </rPr>
      <t xml:space="preserve">5. </t>
    </r>
    <r>
      <rPr>
        <sz val="11"/>
        <color rgb="FF000000"/>
        <rFont val="Noto Sans CJK SC"/>
        <family val="2"/>
      </rPr>
      <t xml:space="preserve">財務模擬 — 一個小馬房</t>
    </r>
    <r>
      <rPr>
        <sz val="11"/>
        <color rgb="FF000000"/>
        <rFont val="Arial"/>
        <family val="0"/>
        <charset val="1"/>
      </rPr>
      <t xml:space="preserve">(5</t>
    </r>
    <r>
      <rPr>
        <sz val="11"/>
        <color rgb="FF000000"/>
        <rFont val="Noto Sans CJK SC"/>
        <family val="2"/>
      </rPr>
      <t xml:space="preserve">匹馬</t>
    </r>
    <r>
      <rPr>
        <sz val="11"/>
        <color rgb="FF000000"/>
        <rFont val="Arial"/>
        <family val="0"/>
        <charset val="1"/>
      </rPr>
      <t xml:space="preserve">)</t>
    </r>
    <r>
      <rPr>
        <sz val="11"/>
        <color rgb="FF000000"/>
        <rFont val="Noto Sans CJK SC"/>
        <family val="2"/>
      </rPr>
      <t xml:space="preserve">一整年的現金流試算，檢查收支是否撐得住。</t>
    </r>
  </si>
  <si>
    <r>
      <rPr>
        <sz val="11"/>
        <color rgb="FF000000"/>
        <rFont val="Arial"/>
        <family val="0"/>
        <charset val="1"/>
      </rPr>
      <t xml:space="preserve">6. </t>
    </r>
    <r>
      <rPr>
        <sz val="11"/>
        <color rgb="FF000000"/>
        <rFont val="Noto Sans CJK SC"/>
        <family val="2"/>
      </rPr>
      <t xml:space="preserve">財務系統進階 — 在財務模擬的基礎上加入拍賣購馬、分級獎金期望值、人員分成，檢查一次性大額</t>
    </r>
  </si>
  <si>
    <t xml:space="preserve">   支出/收入疊加常態現金流時，是否會把資金打到負值。</t>
  </si>
  <si>
    <r>
      <rPr>
        <sz val="11"/>
        <color rgb="FF000000"/>
        <rFont val="Arial"/>
        <family val="0"/>
        <charset val="1"/>
      </rPr>
      <t xml:space="preserve">7. </t>
    </r>
    <r>
      <rPr>
        <sz val="11"/>
        <color rgb="FF000000"/>
        <rFont val="Noto Sans CJK SC"/>
        <family val="2"/>
      </rPr>
      <t xml:space="preserve">繁殖世代模擬 — 從始祖父母馬繁殖三代，檢查屬性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整體潛力是否隨世代失控膨脹或退化，並示範</t>
    </r>
  </si>
  <si>
    <t xml:space="preserve">   近親繁殖懲罰是否有確實反映在數值上。</t>
  </si>
  <si>
    <t xml:space="preserve">顏色說明</t>
  </si>
  <si>
    <t xml:space="preserve">藍字＝可自行調整的輸入值。黑字＝公式自動計算，不要手動覆寫。黃底＝本表為了能算出結果而自行假設的</t>
  </si>
  <si>
    <t xml:space="preserve">數值(docs 裡原本只有文字敘述或範圍，這裡取了一個測試用的具體值)。</t>
  </si>
  <si>
    <t xml:space="preserve">上一版試算過程中發現的問題與這一版的處理狀態</t>
  </si>
  <si>
    <r>
      <rPr>
        <sz val="11"/>
        <color rgb="FF000000"/>
        <rFont val="Arial"/>
        <family val="0"/>
        <charset val="1"/>
      </rPr>
      <t xml:space="preserve">0.</t>
    </r>
    <r>
      <rPr>
        <sz val="11"/>
        <color rgb="FF000000"/>
        <rFont val="Noto Sans CJK SC"/>
        <family val="2"/>
      </rPr>
      <t xml:space="preserve">【已回頭修正 </t>
    </r>
    <r>
      <rPr>
        <sz val="11"/>
        <color rgb="FF000000"/>
        <rFont val="Arial"/>
        <family val="0"/>
        <charset val="1"/>
      </rPr>
      <t xml:space="preserve">docs</t>
    </r>
    <r>
      <rPr>
        <sz val="11"/>
        <color rgb="FF000000"/>
        <rFont val="Noto Sans CJK SC"/>
        <family val="2"/>
      </rPr>
      <t xml:space="preserve">】比賽模擬</t>
    </r>
    <r>
      <rPr>
        <sz val="11"/>
        <color rgb="FF000000"/>
        <rFont val="Arial"/>
        <family val="0"/>
        <charset val="1"/>
      </rPr>
      <t xml:space="preserve">.md </t>
    </r>
    <r>
      <rPr>
        <sz val="11"/>
        <color rgb="FF000000"/>
        <rFont val="Noto Sans CJK SC"/>
        <family val="2"/>
      </rPr>
      <t xml:space="preserve">的位置值公式原本會用原始分數差直接複利連乘，六階段後數值暴衝到天文</t>
    </r>
  </si>
  <si>
    <t xml:space="preserve">   數字。docs 已訂正為「相對階段表現＝(本馬分數－全場平均)÷全場平均」的比例版本，這份試算表這一版</t>
  </si>
  <si>
    <t xml:space="preserve">   已同步改用新公式，並確認名次結果穩定(不再出現數十億或正負號亂跳的情況)。</t>
  </si>
  <si>
    <r>
      <rPr>
        <sz val="11"/>
        <color rgb="FF000000"/>
        <rFont val="Arial"/>
        <family val="0"/>
        <charset val="1"/>
      </rPr>
      <t xml:space="preserve">1.</t>
    </r>
    <r>
      <rPr>
        <sz val="11"/>
        <color rgb="FF000000"/>
        <rFont val="Noto Sans CJK SC"/>
        <family val="2"/>
      </rPr>
      <t xml:space="preserve">【已回頭修正 </t>
    </r>
    <r>
      <rPr>
        <sz val="11"/>
        <color rgb="FF000000"/>
        <rFont val="Arial"/>
        <family val="0"/>
        <charset val="1"/>
      </rPr>
      <t xml:space="preserve">docs</t>
    </r>
    <r>
      <rPr>
        <sz val="11"/>
        <color rgb="FF000000"/>
        <rFont val="Noto Sans CJK SC"/>
        <family val="2"/>
      </rPr>
      <t xml:space="preserve">】比賽公式</t>
    </r>
    <r>
      <rPr>
        <sz val="11"/>
        <color rgb="FF000000"/>
        <rFont val="Arial"/>
        <family val="0"/>
        <charset val="1"/>
      </rPr>
      <t xml:space="preserve">.md </t>
    </r>
    <r>
      <rPr>
        <sz val="11"/>
        <color rgb="FF000000"/>
        <rFont val="Noto Sans CJK SC"/>
        <family val="2"/>
      </rPr>
      <t xml:space="preserve">原本「跑法階段倍率」同時是外部乘數、又內含在前段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中段基礎分數裡的</t>
    </r>
  </si>
  <si>
    <t xml:space="preserve">   「跑法適配度」，等於算兩次。docs 已訂正為只在外部乘數層套用一次(六階段皆適用，彎道固定1.00)，</t>
  </si>
  <si>
    <t xml:space="preserve">   前段/中段基礎分數的權重也重新分配(前段：速度0.65+騎師適配度0.35；中段：速度0.3+耐力0.3+騎師適配度0.4)。</t>
  </si>
  <si>
    <t xml:space="preserve">   這份試算表這一版已同步更新對照表與公式，起跑/後段/彎道/衝刺也第一次真正吃到跑法的影響。</t>
  </si>
  <si>
    <r>
      <rPr>
        <sz val="11"/>
        <color rgb="FF000000"/>
        <rFont val="Arial"/>
        <family val="0"/>
        <charset val="1"/>
      </rPr>
      <t xml:space="preserve">2.</t>
    </r>
    <r>
      <rPr>
        <sz val="11"/>
        <color rgb="FF000000"/>
        <rFont val="Noto Sans CJK SC"/>
        <family val="2"/>
      </rPr>
      <t xml:space="preserve">【已回頭修正 </t>
    </r>
    <r>
      <rPr>
        <sz val="11"/>
        <color rgb="FF000000"/>
        <rFont val="Arial"/>
        <family val="0"/>
        <charset val="1"/>
      </rPr>
      <t xml:space="preserve">docs</t>
    </r>
    <r>
      <rPr>
        <sz val="11"/>
        <color rgb="FF000000"/>
        <rFont val="Noto Sans CJK SC"/>
        <family val="2"/>
      </rPr>
      <t xml:space="preserve">】培育系統</t>
    </r>
    <r>
      <rPr>
        <sz val="11"/>
        <color rgb="FF000000"/>
        <rFont val="Arial"/>
        <family val="0"/>
        <charset val="1"/>
      </rPr>
      <t xml:space="preserve">.md </t>
    </r>
    <r>
      <rPr>
        <sz val="11"/>
        <color rgb="FF000000"/>
        <rFont val="Noto Sans CJK SC"/>
        <family val="2"/>
      </rPr>
      <t xml:space="preserve">訓練公式原本用固定的「潛力」當乘數，會讓能力值在成長期還沒結束前就</t>
    </r>
  </si>
  <si>
    <t xml:space="preserve">   衝到潛力上限，之後訓練形同浪費。docs 已訂正為「潛力餘裕＝(潛力上限－目前值)÷100」，越接近上限成長</t>
  </si>
  <si>
    <t xml:space="preserve">   越慢。這份試算表的訓練成長模擬分頁已同步改用新公式，不再需要額外的 MIN() 硬上限。</t>
  </si>
  <si>
    <r>
      <rPr>
        <sz val="11"/>
        <color rgb="FF000000"/>
        <rFont val="Arial"/>
        <family val="0"/>
        <charset val="1"/>
      </rPr>
      <t xml:space="preserve">3.</t>
    </r>
    <r>
      <rPr>
        <sz val="11"/>
        <color rgb="FF000000"/>
        <rFont val="Noto Sans CJK SC"/>
        <family val="2"/>
      </rPr>
      <t xml:space="preserve">【已回頭修正 </t>
    </r>
    <r>
      <rPr>
        <sz val="11"/>
        <color rgb="FF000000"/>
        <rFont val="Arial"/>
        <family val="0"/>
        <charset val="1"/>
      </rPr>
      <t xml:space="preserve">docs</t>
    </r>
    <r>
      <rPr>
        <sz val="11"/>
        <color rgb="FF000000"/>
        <rFont val="Noto Sans CJK SC"/>
        <family val="2"/>
      </rPr>
      <t xml:space="preserve">，採方案</t>
    </r>
    <r>
      <rPr>
        <sz val="11"/>
        <color rgb="FF000000"/>
        <rFont val="Arial"/>
        <family val="0"/>
        <charset val="1"/>
      </rPr>
      <t xml:space="preserve">(b)</t>
    </r>
    <r>
      <rPr>
        <sz val="11"/>
        <color rgb="FF000000"/>
        <rFont val="Noto Sans CJK SC"/>
        <family val="2"/>
      </rPr>
      <t xml:space="preserve">】上一版發現「強者恆強」問題：六階段複利連乘會把單一階段 </t>
    </r>
    <r>
      <rPr>
        <sz val="11"/>
        <color rgb="FF000000"/>
        <rFont val="Arial"/>
        <family val="0"/>
        <charset val="1"/>
      </rPr>
      <t xml:space="preserve">10%~15% </t>
    </r>
    <r>
      <rPr>
        <sz val="11"/>
        <color rgb="FF000000"/>
        <rFont val="Noto Sans CJK SC"/>
        <family val="2"/>
      </rPr>
      <t xml:space="preserve">的小</t>
    </r>
  </si>
  <si>
    <t xml:space="preserve">   優勢放大成好幾倍的最終差距，比賽缺乏黑馬翻盤空間。已依你的決定採用方案(b)：位置值不再複利連乘，</t>
  </si>
  <si>
    <t xml:space="preserve">   改成「目前為止各階段相對表現的平均值」，六階段權重相同。這份試算表已同步更新，下方「比賽模擬」分頁</t>
  </si>
  <si>
    <t xml:space="preserve">   可以直接看到新舊模型的名次差距是否有縮小。</t>
  </si>
  <si>
    <r>
      <rPr>
        <sz val="11"/>
        <color rgb="FF000000"/>
        <rFont val="Arial"/>
        <family val="0"/>
        <charset val="1"/>
      </rPr>
      <t xml:space="preserve">4.</t>
    </r>
    <r>
      <rPr>
        <sz val="11"/>
        <color rgb="FF000000"/>
        <rFont val="Noto Sans CJK SC"/>
        <family val="2"/>
      </rPr>
      <t xml:space="preserve">【待確認，非</t>
    </r>
    <r>
      <rPr>
        <sz val="11"/>
        <color rgb="FF000000"/>
        <rFont val="Arial"/>
        <family val="0"/>
        <charset val="1"/>
      </rPr>
      <t xml:space="preserve">bug</t>
    </r>
    <r>
      <rPr>
        <sz val="11"/>
        <color rgb="FF000000"/>
        <rFont val="Noto Sans CJK SC"/>
        <family val="2"/>
      </rPr>
      <t xml:space="preserve">】財務系統進階分頁試算發現：以目前假設的輸入值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一般賽基準獎金</t>
    </r>
    <r>
      <rPr>
        <sz val="11"/>
        <color rgb="FF000000"/>
        <rFont val="Arial"/>
        <family val="0"/>
        <charset val="1"/>
      </rPr>
      <t xml:space="preserve">15000</t>
    </r>
    <r>
      <rPr>
        <sz val="11"/>
        <color rgb="FF000000"/>
        <rFont val="Noto Sans CJK SC"/>
        <family val="2"/>
      </rPr>
      <t xml:space="preserve">、平均進帳期望</t>
    </r>
  </si>
  <si>
    <t xml:space="preserve">   比例12%、固定支出等)，一個5匹馬的小馬房在完全沒有明星馬的情況下，一整年下來累積資金會從150000</t>
  </si>
  <si>
    <t xml:space="preserve">   穩定下滑到第52週剩4650，幾乎歸零(還沒算進拍賣/繁殖的一次性支出前，每週就已經是虧損)。這代表</t>
  </si>
  <si>
    <t xml:space="preserve">   目前的假設數值下，新手馬主如果馬房裡沒有至少一兩匹能穩定拿名次的馬，撐不過一年就會破產——</t>
  </si>
  <si>
    <t xml:space="preserve">   這是設計取捨(要多硬核)而不是公式錯誤，需要你決定是要調整比賽收入/支出的假設比例，還是這種</t>
  </si>
  <si>
    <t xml:space="preserve">   「新手很容易破產」的難度本來就是設計目標。</t>
  </si>
  <si>
    <r>
      <rPr>
        <sz val="11"/>
        <color rgb="FF000000"/>
        <rFont val="Arial"/>
        <family val="0"/>
        <charset val="1"/>
      </rPr>
      <t xml:space="preserve">5.</t>
    </r>
    <r>
      <rPr>
        <sz val="11"/>
        <color rgb="FF000000"/>
        <rFont val="Noto Sans CJK SC"/>
        <family val="2"/>
      </rPr>
      <t xml:space="preserve">【已驗證正常】繁殖世代模擬分頁試算三代下來：</t>
    </r>
    <r>
      <rPr>
        <sz val="11"/>
        <color rgb="FF000000"/>
        <rFont val="Arial"/>
        <family val="0"/>
        <charset val="1"/>
      </rPr>
      <t xml:space="preserve">Gen0</t>
    </r>
    <r>
      <rPr>
        <sz val="11"/>
        <color rgb="FF000000"/>
        <rFont val="Noto Sans CJK SC"/>
        <family val="2"/>
      </rPr>
      <t xml:space="preserve">平均整體潛力</t>
    </r>
    <r>
      <rPr>
        <sz val="11"/>
        <color rgb="FF000000"/>
        <rFont val="Arial"/>
        <family val="0"/>
        <charset val="1"/>
      </rPr>
      <t xml:space="preserve">79 → Gen1</t>
    </r>
    <r>
      <rPr>
        <sz val="11"/>
        <color rgb="FF000000"/>
        <rFont val="Noto Sans CJK SC"/>
        <family val="2"/>
      </rPr>
      <t xml:space="preserve">約</t>
    </r>
    <r>
      <rPr>
        <sz val="11"/>
        <color rgb="FF000000"/>
        <rFont val="Arial"/>
        <family val="0"/>
        <charset val="1"/>
      </rPr>
      <t xml:space="preserve">79.5 → Gen2(</t>
    </r>
    <r>
      <rPr>
        <sz val="11"/>
        <color rgb="FF000000"/>
        <rFont val="Noto Sans CJK SC"/>
        <family val="2"/>
      </rPr>
      <t xml:space="preserve">正常配種</t>
    </r>
    <r>
      <rPr>
        <sz val="11"/>
        <color rgb="FF000000"/>
        <rFont val="Arial"/>
        <family val="0"/>
        <charset val="1"/>
      </rPr>
      <t xml:space="preserve">)81</t>
    </r>
    <r>
      <rPr>
        <sz val="11"/>
        <color rgb="FF000000"/>
        <rFont val="Noto Sans CJK SC"/>
        <family val="2"/>
      </rPr>
      <t xml:space="preserve">，</t>
    </r>
  </si>
  <si>
    <t xml:space="preserve">   世代間沒有出現失控膨脹或退化，數值穩定在始祖水準附近；Gen2(近親配種)整體潛力59，明顯低於同世代</t>
  </si>
  <si>
    <t xml:space="preserve">   正常配種的81，近親繁殖懲罰確實有反映在數值上，遺傳系統.md 的設計方向沒有問題。</t>
  </si>
  <si>
    <t xml:space="preserve">重要提醒</t>
  </si>
  <si>
    <t xml:space="preserve">這份試算表用的都是「假設中間值」，不是遊戲最終平衡數字。目的是看公式結構跑起來合不合理</t>
  </si>
  <si>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例如強馬是否穩定贏、戰術風險是否有感、體力是否會見底、新手馬主是否會破產</t>
    </r>
    <r>
      <rPr>
        <sz val="11"/>
        <color rgb="FF000000"/>
        <rFont val="Arial"/>
        <family val="0"/>
        <charset val="1"/>
      </rPr>
      <t xml:space="preserve">)</t>
    </r>
    <r>
      <rPr>
        <sz val="11"/>
        <color rgb="FF000000"/>
        <rFont val="Noto Sans CJK SC"/>
        <family val="2"/>
      </rPr>
      <t xml:space="preserve">，</t>
    </r>
  </si>
  <si>
    <t xml:space="preserve">實際數值仍需要你依測試結果調整。</t>
  </si>
  <si>
    <t xml:space="preserve">狀態</t>
  </si>
  <si>
    <t xml:space="preserve">倍率</t>
  </si>
  <si>
    <t xml:space="preserve">適性等級</t>
  </si>
  <si>
    <t xml:space="preserve">倍率(假設)</t>
  </si>
  <si>
    <t xml:space="preserve">S</t>
  </si>
  <si>
    <t xml:space="preserve">A</t>
  </si>
  <si>
    <t xml:space="preserve">B</t>
  </si>
  <si>
    <t xml:space="preserve">C</t>
  </si>
  <si>
    <t xml:space="preserve">D</t>
  </si>
  <si>
    <t xml:space="preserve">來源: 馬匹系統.md 只給了「明顯/小幅加成/標準/小幅懲罰/明顯懲罰」的文字描述，倍率為本表假設值。</t>
  </si>
  <si>
    <t xml:space="preserve">跑法</t>
  </si>
  <si>
    <t xml:space="preserve">起跑</t>
  </si>
  <si>
    <t xml:space="preserve">前段</t>
  </si>
  <si>
    <t xml:space="preserve">中段</t>
  </si>
  <si>
    <t xml:space="preserve">後段</t>
  </si>
  <si>
    <t xml:space="preserve">彎道</t>
  </si>
  <si>
    <t xml:space="preserve">衝刺</t>
  </si>
  <si>
    <t xml:space="preserve">逃</t>
  </si>
  <si>
    <t xml:space="preserve">先</t>
  </si>
  <si>
    <t xml:space="preserve">差</t>
  </si>
  <si>
    <t xml:space="preserve">追</t>
  </si>
  <si>
    <t xml:space="preserve">來源: 馬匹/馬匹系統.md「跑法適配度」，數值逐字照抄；彎道欄為訂正後新增，固定1.00(跑法不影響過彎)。</t>
  </si>
  <si>
    <t xml:space="preserve">來源: 比賽/體力系統.md「跑法修正」，數值逐字照抄。</t>
  </si>
  <si>
    <t xml:space="preserve">階段</t>
  </si>
  <si>
    <t xml:space="preserve">基準剩餘體力%</t>
  </si>
  <si>
    <t xml:space="preserve">基礎消耗(與前一階段差)</t>
  </si>
  <si>
    <t xml:space="preserve">-</t>
  </si>
  <si>
    <t xml:space="preserve">來源: 比賽/體力系統.md「基準體力曲線」。基礎消耗＝相鄰兩階段剩餘體力%的差值，供比賽模擬分頁的體力試算使用。</t>
  </si>
  <si>
    <t xml:space="preserve">馬匹名稱</t>
  </si>
  <si>
    <t xml:space="preserve">速度</t>
  </si>
  <si>
    <t xml:space="preserve">耐力</t>
  </si>
  <si>
    <t xml:space="preserve">加速</t>
  </si>
  <si>
    <t xml:space="preserve">力量</t>
  </si>
  <si>
    <t xml:space="preserve">根性</t>
  </si>
  <si>
    <t xml:space="preserve">智力</t>
  </si>
  <si>
    <t xml:space="preserve">戰術(屬性)</t>
  </si>
  <si>
    <t xml:space="preserve">精神</t>
  </si>
  <si>
    <t xml:space="preserve">健康</t>
  </si>
  <si>
    <t xml:space="preserve">距離適性等級</t>
  </si>
  <si>
    <t xml:space="preserve">場地適性等級</t>
  </si>
  <si>
    <t xml:space="preserve">狀態等級</t>
  </si>
  <si>
    <t xml:space="preserve">負磅差(kg)</t>
  </si>
  <si>
    <t xml:space="preserve">騎師修正(整體)</t>
  </si>
  <si>
    <t xml:space="preserve">騎師-位置判斷</t>
  </si>
  <si>
    <t xml:space="preserve">騎師-節奏控制</t>
  </si>
  <si>
    <t xml:space="preserve">騎師-路線選擇</t>
  </si>
  <si>
    <t xml:space="preserve">特性加成%</t>
  </si>
  <si>
    <t xml:space="preserve">戰術波動%</t>
  </si>
  <si>
    <t xml:space="preserve">隨機波動%</t>
  </si>
  <si>
    <t xml:space="preserve">戰術體力修正</t>
  </si>
  <si>
    <t xml:space="preserve">全能強馬</t>
  </si>
  <si>
    <t xml:space="preserve">速度型快馬</t>
  </si>
  <si>
    <t xml:space="preserve">耐力追込馬</t>
  </si>
  <si>
    <t xml:space="preserve">平衡中庸馬</t>
  </si>
  <si>
    <t xml:space="preserve">潛力新星</t>
  </si>
  <si>
    <t xml:space="preserve">老將經驗馬</t>
  </si>
  <si>
    <t xml:space="preserve">彎道巧手馬</t>
  </si>
  <si>
    <t xml:space="preserve">衝刺爆發馬</t>
  </si>
  <si>
    <t xml:space="preserve">上面 8 匹是範例測試馬(涵蓋強/弱、四種跑法、不同適性)，全部欄位皆可自行修改。</t>
  </si>
  <si>
    <t xml:space="preserve">騎師-位置判斷/節奏控制/路線選擇：對應 比賽/騎師AI.md 的騎師能力，供「騎師適配度」公式使用，採 0~100 尺度。</t>
  </si>
  <si>
    <t xml:space="preserve">距離修正(0.8~1.3)</t>
  </si>
  <si>
    <t xml:space="preserve">這兩格模擬「這場賽事」的距離/場地體力消耗修正(來自 體力系統.md)，套用在全部 8 匹馬身上。</t>
  </si>
  <si>
    <t xml:space="preserve">場地修正(1.0~1.2)</t>
  </si>
  <si>
    <t xml:space="preserve">起跑_基礎</t>
  </si>
  <si>
    <t xml:space="preserve">起跑_修正後</t>
  </si>
  <si>
    <t xml:space="preserve">起跑_全場平均</t>
  </si>
  <si>
    <t xml:space="preserve">起跑_相對</t>
  </si>
  <si>
    <t xml:space="preserve">起跑_位置值</t>
  </si>
  <si>
    <t xml:space="preserve">前段_基礎</t>
  </si>
  <si>
    <t xml:space="preserve">前段_修正後</t>
  </si>
  <si>
    <t xml:space="preserve">前段_全場平均</t>
  </si>
  <si>
    <t xml:space="preserve">前段_相對</t>
  </si>
  <si>
    <t xml:space="preserve">前段_位置值</t>
  </si>
  <si>
    <t xml:space="preserve">中段_基礎</t>
  </si>
  <si>
    <t xml:space="preserve">中段_修正後</t>
  </si>
  <si>
    <t xml:space="preserve">中段_全場平均</t>
  </si>
  <si>
    <t xml:space="preserve">中段_相對</t>
  </si>
  <si>
    <t xml:space="preserve">中段_位置值</t>
  </si>
  <si>
    <t xml:space="preserve">後段_基礎</t>
  </si>
  <si>
    <t xml:space="preserve">後段_修正後</t>
  </si>
  <si>
    <t xml:space="preserve">後段_全場平均</t>
  </si>
  <si>
    <t xml:space="preserve">後段_相對</t>
  </si>
  <si>
    <t xml:space="preserve">後段_位置值</t>
  </si>
  <si>
    <t xml:space="preserve">彎道_基礎</t>
  </si>
  <si>
    <t xml:space="preserve">彎道_修正後</t>
  </si>
  <si>
    <t xml:space="preserve">彎道_全場平均</t>
  </si>
  <si>
    <t xml:space="preserve">彎道_相對</t>
  </si>
  <si>
    <t xml:space="preserve">彎道_位置值</t>
  </si>
  <si>
    <t xml:space="preserve">衝刺_基礎</t>
  </si>
  <si>
    <t xml:space="preserve">衝刺_修正後</t>
  </si>
  <si>
    <t xml:space="preserve">衝刺_全場平均</t>
  </si>
  <si>
    <t xml:space="preserve">衝刺_相對</t>
  </si>
  <si>
    <t xml:space="preserve">衝刺_位置值(終點)</t>
  </si>
  <si>
    <t xml:space="preserve">最終名次</t>
  </si>
  <si>
    <t xml:space="preserve">外部乘數(輔助)</t>
  </si>
  <si>
    <t xml:space="preserve">耐力修正(輔助)</t>
  </si>
  <si>
    <t xml:space="preserve">前段消耗</t>
  </si>
  <si>
    <t xml:space="preserve">前段剩餘</t>
  </si>
  <si>
    <t xml:space="preserve">中段消耗</t>
  </si>
  <si>
    <t xml:space="preserve">中段剩餘</t>
  </si>
  <si>
    <t xml:space="preserve">後段消耗</t>
  </si>
  <si>
    <t xml:space="preserve">後段剩餘</t>
  </si>
  <si>
    <t xml:space="preserve">說明：位置值＝目前為止各階段「相對表現」的平均值(不再複利連乘)，六階段權重相同。</t>
  </si>
  <si>
    <t xml:space="preserve">最後用「衝刺_位置值(終點)」RANK 出名次，數字越大名次越前面；這是「強者恆強」問題的對策(b)版本。</t>
  </si>
  <si>
    <t xml:space="preserve">單一屬性的多週訓練模擬</t>
  </si>
  <si>
    <t xml:space="preserve">公式來源(訂正版): 培育/培育系統.md「訓練能力」：基礎訓練值 × 潛力餘裕 × 年齡成長倍率 × 訓練師 × 設施 × 狀態</t>
  </si>
  <si>
    <t xml:space="preserve">潛力上限(0~100)</t>
  </si>
  <si>
    <t xml:space="preserve">起始能力值(0~100)</t>
  </si>
  <si>
    <t xml:space="preserve">基礎訓練值(每次訓練)</t>
  </si>
  <si>
    <t xml:space="preserve">訓練師倍率</t>
  </si>
  <si>
    <t xml:space="preserve">設施倍率</t>
  </si>
  <si>
    <t xml:space="preserve">狀態倍率</t>
  </si>
  <si>
    <t xml:space="preserve">上升期結束週次</t>
  </si>
  <si>
    <t xml:space="preserve">巔峰期結束週次</t>
  </si>
  <si>
    <t xml:space="preserve">停滯期結束週次</t>
  </si>
  <si>
    <t xml:space="preserve">上升期年齡倍率(假設)</t>
  </si>
  <si>
    <t xml:space="preserve">巔峰期年齡倍率(假設)</t>
  </si>
  <si>
    <t xml:space="preserve">停滯期年齡倍率(假設)</t>
  </si>
  <si>
    <t xml:space="preserve">衰退期年齡倍率(假設)</t>
  </si>
  <si>
    <t xml:space="preserve">週次</t>
  </si>
  <si>
    <t xml:space="preserve">年齡階段</t>
  </si>
  <si>
    <t xml:space="preserve">年齡倍率</t>
  </si>
  <si>
    <t xml:space="preserve">本週成長量</t>
  </si>
  <si>
    <t xml:space="preserve">累積能力值(封頂於潛力上限)</t>
  </si>
  <si>
    <t xml:space="preserve">達潛力上限%</t>
  </si>
  <si>
    <t xml:space="preserve">調整上方藍字輸入值，觀察第 5 欄「累積能力值」大約在第幾週追上潛力上限——藉此判斷一個賽季</t>
  </si>
  <si>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約</t>
    </r>
    <r>
      <rPr>
        <i val="true"/>
        <sz val="9"/>
        <rFont val="Arial"/>
        <family val="0"/>
        <charset val="1"/>
      </rPr>
      <t xml:space="preserve">52</t>
    </r>
    <r>
      <rPr>
        <i val="true"/>
        <sz val="9"/>
        <rFont val="Noto Sans CJK SC"/>
        <family val="2"/>
      </rPr>
      <t xml:space="preserve">週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的訓練量，能否讓馬匹在巔峰期前把潛力用完，或是巔峰期都還沒練滿、潛力被浪費掉。</t>
    </r>
  </si>
  <si>
    <t xml:space="preserve">小馬房一年(52週)現金流試算</t>
  </si>
  <si>
    <t xml:space="preserve">公式來源: 經營/財務系統.md 的收入/支出項目分類，數值為測試用假設。</t>
  </si>
  <si>
    <t xml:space="preserve">馬房馬匹數</t>
  </si>
  <si>
    <t xml:space="preserve">起始資金</t>
  </si>
  <si>
    <t xml:space="preserve">每匹馬週固定支出(假設，含馬房/訓練/獸醫)</t>
  </si>
  <si>
    <t xml:space="preserve">設施週維護費(假設，固定)</t>
  </si>
  <si>
    <t xml:space="preserve">人力週固定費(假設，訓練師/獸醫底薪)</t>
  </si>
  <si>
    <t xml:space="preserve">平均每匹馬週比賽收入期望值(假設)</t>
  </si>
  <si>
    <t xml:space="preserve">週贊助/週邊收入(假設，固定)</t>
  </si>
  <si>
    <t xml:space="preserve">收入</t>
  </si>
  <si>
    <t xml:space="preserve">支出</t>
  </si>
  <si>
    <t xml:space="preserve">淨現金流</t>
  </si>
  <si>
    <t xml:space="preserve">累積資金</t>
  </si>
  <si>
    <t xml:space="preserve">調整上方藍字輸入值，觀察「累積資金」欄位全年是否維持正值——藉此判斷平均比賽收入與固定支出</t>
  </si>
  <si>
    <t xml:space="preserve">之間的落差有多大，以及新手馬主在還沒有明星馬前，能撐過幾週入不敷出的狀態。</t>
  </si>
  <si>
    <t xml:space="preserve">小馬房一年(52週)現金流試算 — 加入拍賣購馬、分級獎金期望值、人員分成</t>
  </si>
  <si>
    <t xml:space="preserve">公式來源: 經營/財務系統.md 收支分類 + 賽事與生涯系統.md 獎金/分成規則 + 市場/拍賣系統.md，數值為測試用假設。</t>
  </si>
  <si>
    <t xml:space="preserve">每匹馬週固定支出(訓練+馬房費，假設)</t>
  </si>
  <si>
    <t xml:space="preserve">設施週維護費(假設)</t>
  </si>
  <si>
    <t xml:space="preserve">人力週固定費(訓練師/獸醫底薪，假設)</t>
  </si>
  <si>
    <t xml:space="preserve">每匹馬出賽週期(每N週出賽1次，假設)</t>
  </si>
  <si>
    <t xml:space="preserve">每次出賽報名費(假設)</t>
  </si>
  <si>
    <t xml:space="preserve">一般賽基準獎金(地方一般賽Top3，假設)</t>
  </si>
  <si>
    <t xml:space="preserve">難度(輸入「簡單」或「困難」)</t>
  </si>
  <si>
    <t xml:space="preserve">困難</t>
  </si>
  <si>
    <t xml:space="preserve">困難的平均進帳期望比例(假設，保留硬核手感)</t>
  </si>
  <si>
    <t xml:space="preserve">簡單的平均進帳期望比例(假設，調高比賽收入)</t>
  </si>
  <si>
    <t xml:space="preserve">使用中的平均進帳期望比例(依上方難度自動判斷，不要手動覆寫)</t>
  </si>
  <si>
    <t xml:space="preserve">比賽獎金人員分成比例(騎師+訓練師，假設)</t>
  </si>
  <si>
    <t xml:space="preserve">拍賣購馬支出(第20週一次性，假設)</t>
  </si>
  <si>
    <t xml:space="preserve">繁殖種馬費收入(第35週一次性，假設)</t>
  </si>
  <si>
    <t xml:space="preserve">是否出賽週</t>
  </si>
  <si>
    <t xml:space="preserve">報名費支出</t>
  </si>
  <si>
    <t xml:space="preserve">比賽獎金收入(期望值，已扣分成)</t>
  </si>
  <si>
    <t xml:space="preserve">拍賣/繁殖一次性收支</t>
  </si>
  <si>
    <t xml:space="preserve">固定支出</t>
  </si>
  <si>
    <t xml:space="preserve">把「難度」欄位改成「簡單」或「困難」，可以切換套用哪一組平均進帳期望比例(對應財務系統.md</t>
  </si>
  <si>
    <t xml:space="preserve">「難度設定」章節)：困難版維持12%，新手容易在一年內把資金燒到接近破產；簡單版調高到30%，</t>
  </si>
  <si>
    <t xml:space="preserve">資金應該能穩定小幅成長。可用這兩種設定對照「累積資金」欄位末段(第52週)的差異。</t>
  </si>
  <si>
    <t xml:space="preserve">調整上方藍字輸入值，觀察拍賣購馬(第20週)、繁殖收入(第35週)這類一次性大額現金流動，疊加在</t>
  </si>
  <si>
    <t xml:space="preserve">常態比賽收入/固定支出之上時，「累積資金」是否會被打到負值——藉此判斷玩家在規劃大額支出</t>
  </si>
  <si>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例如標下一匹貴馬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前，需要先累積多少緩衝資金才安全。</t>
    </r>
  </si>
  <si>
    <t xml:space="preserve">三代繁殖世代模擬 — 檢查屬性/潛力隨世代遞增是否失控膨脹或退化，並示範近親繁殖懲罰</t>
  </si>
  <si>
    <t xml:space="preserve">公式來源: 繁殖/遺傳系統.md「屬性遺傳」「潛力」「近親繁殖」規則，馬匹/潛力與評估.md「整體潛力」。</t>
  </si>
  <si>
    <t xml:space="preserve">名稱</t>
  </si>
  <si>
    <t xml:space="preserve">世代</t>
  </si>
  <si>
    <t xml:space="preserve">父</t>
  </si>
  <si>
    <t xml:space="preserve">母</t>
  </si>
  <si>
    <t xml:space="preserve">近親?</t>
  </si>
  <si>
    <t xml:space="preserve">戰術</t>
  </si>
  <si>
    <t xml:space="preserve">整體潛力</t>
  </si>
  <si>
    <t xml:space="preserve">備註</t>
  </si>
  <si>
    <t xml:space="preserve">父馬</t>
  </si>
  <si>
    <t xml:space="preserve">Gen0</t>
  </si>
  <si>
    <t xml:space="preserve">否</t>
  </si>
  <si>
    <t xml:space="preserve">始祖種馬</t>
  </si>
  <si>
    <t xml:space="preserve">母馬</t>
  </si>
  <si>
    <t xml:space="preserve">始祖繁殖母馬</t>
  </si>
  <si>
    <t xml:space="preserve">外部種馬</t>
  </si>
  <si>
    <t xml:space="preserve">Gen1</t>
  </si>
  <si>
    <t xml:space="preserve">另外購入，與父馬母馬無血緣關係</t>
  </si>
  <si>
    <t xml:space="preserve">子代A</t>
  </si>
  <si>
    <t xml:space="preserve">父馬×母馬，非近親，潛力「存在突破父母的可能」故加了正偏態隨機項</t>
  </si>
  <si>
    <t xml:space="preserve">子代B</t>
  </si>
  <si>
    <t xml:space="preserve">同一對父母的第二胎，示範同樣血緣配對下潛力仍有隨機差異</t>
  </si>
  <si>
    <t xml:space="preserve">孫代-正常配種</t>
  </si>
  <si>
    <t xml:space="preserve">Gen2</t>
  </si>
  <si>
    <t xml:space="preserve">子代A×外部種馬(無血緣)，正常配種對照組</t>
  </si>
  <si>
    <t xml:space="preserve">孫代-近親配種</t>
  </si>
  <si>
    <t xml:space="preserve">是</t>
  </si>
  <si>
    <t xml:space="preserve">子代A×子代B(同窩兄妹)，示範近親繁殖對潛力上限的懲罰(公式內-15)</t>
  </si>
  <si>
    <t xml:space="preserve">各世代平均整體潛力</t>
  </si>
  <si>
    <r>
      <rPr>
        <sz val="11"/>
        <color rgb="FF000000"/>
        <rFont val="Arial"/>
        <family val="0"/>
        <charset val="1"/>
      </rPr>
      <t xml:space="preserve">Gen2(</t>
    </r>
    <r>
      <rPr>
        <sz val="11"/>
        <color rgb="FF000000"/>
        <rFont val="Noto Sans CJK SC"/>
        <family val="2"/>
      </rPr>
      <t xml:space="preserve">正常配種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</si>
  <si>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Gen2(</t>
    </r>
    <r>
      <rPr>
        <sz val="11"/>
        <color rgb="FF000000"/>
        <rFont val="Noto Sans CJK SC"/>
        <family val="2"/>
      </rPr>
      <t xml:space="preserve">近親配種</t>
    </r>
    <r>
      <rPr>
        <sz val="11"/>
        <color rgb="FF000000"/>
        <rFont val="Arial"/>
        <family val="0"/>
        <charset val="1"/>
      </rPr>
      <t xml:space="preserve">)</t>
    </r>
  </si>
  <si>
    <t xml:space="preserve">此分頁使用 RAND()，每次重新計算(recalc)結果都會重新洗牌，用來觀察隨機範圍是否合理，</t>
  </si>
  <si>
    <t xml:space="preserve">而不是要看單一次的精確數字。</t>
  </si>
  <si>
    <t xml:space="preserve">重點觀察：(1) 各世代平均整體潛力是否隨世代持續上升(潛力膨脹、後期馬全部頂級)或明顯下降</t>
  </si>
  <si>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退化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；理想狀態應該在始祖水準附近小幅波動。</t>
    </r>
    <r>
      <rPr>
        <i val="true"/>
        <sz val="9"/>
        <rFont val="Arial"/>
        <family val="0"/>
        <charset val="1"/>
      </rPr>
      <t xml:space="preserve">(2)</t>
    </r>
    <r>
      <rPr>
        <i val="true"/>
        <sz val="9"/>
        <rFont val="Noto Sans CJK SC"/>
        <family val="2"/>
      </rPr>
      <t xml:space="preserve">「孫代</t>
    </r>
    <r>
      <rPr>
        <i val="true"/>
        <sz val="9"/>
        <rFont val="Arial"/>
        <family val="0"/>
        <charset val="1"/>
      </rPr>
      <t xml:space="preserve">-</t>
    </r>
    <r>
      <rPr>
        <i val="true"/>
        <sz val="9"/>
        <rFont val="Noto Sans CJK SC"/>
        <family val="2"/>
      </rPr>
      <t xml:space="preserve">近親配種」列的整體潛力，應該要能</t>
    </r>
  </si>
  <si>
    <t xml:space="preserve">穩定低於「孫代-正常配種」列，藉此驗證近親繁殖懲罰有確實反映在數值上。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</si>
</sst>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;&quot;($&quot;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  <charset val="1"/>
    </font>
    <font>
      <sz val="11"/>
      <color rgb="FF000000"/>
      <name val="Arial"/>
      <family val="0"/>
      <charset val="1"/>
    </font>
    <font>
      <b val="true"/>
      <sz val="11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sz val="11"/>
      <color rgb="FF000000"/>
      <name val="Noto Sans CJK SC"/>
      <family val="2"/>
    </font>
    <font>
      <i val="true"/>
      <sz val="9"/>
      <name val="Noto Sans CJK SC"/>
      <family val="2"/>
      <charset val="1"/>
    </font>
    <font>
      <sz val="11"/>
      <color rgb="FF0000FF"/>
      <name val="Noto Sans CJK SC"/>
      <family val="2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0"/>
  </cols>
  <sheetData>
    <row r="2" customFormat="false" ht="17.25" hidden="false" customHeight="true" outlineLevel="0" collapsed="false">
      <c r="B2" s="2" t="s">
        <v>0</v>
      </c>
    </row>
    <row r="4" customFormat="false" ht="15" hidden="false" customHeight="true" outlineLevel="0" collapsed="false">
      <c r="B4" s="3"/>
    </row>
    <row r="5" customFormat="false" ht="16.5" hidden="false" customHeight="true" outlineLevel="0" collapsed="false">
      <c r="B5" s="4" t="s">
        <v>1</v>
      </c>
    </row>
    <row r="6" customFormat="false" ht="16.5" hidden="false" customHeight="true" outlineLevel="0" collapsed="false">
      <c r="B6" s="5" t="s">
        <v>2</v>
      </c>
    </row>
    <row r="7" customFormat="false" ht="16.5" hidden="false" customHeight="true" outlineLevel="0" collapsed="false">
      <c r="B7" s="5" t="s">
        <v>3</v>
      </c>
    </row>
    <row r="8" customFormat="false" ht="15" hidden="false" customHeight="true" outlineLevel="0" collapsed="false">
      <c r="B8" s="3"/>
    </row>
    <row r="9" customFormat="false" ht="16.5" hidden="false" customHeight="true" outlineLevel="0" collapsed="false">
      <c r="B9" s="4" t="s">
        <v>4</v>
      </c>
    </row>
    <row r="10" customFormat="false" ht="16.5" hidden="false" customHeight="true" outlineLevel="0" collapsed="false">
      <c r="B10" s="3" t="s">
        <v>5</v>
      </c>
    </row>
    <row r="11" customFormat="false" ht="16.5" hidden="false" customHeight="true" outlineLevel="0" collapsed="false">
      <c r="B11" s="3" t="s">
        <v>6</v>
      </c>
    </row>
    <row r="12" customFormat="false" ht="16.5" hidden="false" customHeight="true" outlineLevel="0" collapsed="false">
      <c r="B12" s="3" t="s">
        <v>7</v>
      </c>
    </row>
    <row r="13" customFormat="false" ht="16.5" hidden="false" customHeight="true" outlineLevel="0" collapsed="false">
      <c r="B13" s="3" t="s">
        <v>8</v>
      </c>
    </row>
    <row r="14" customFormat="false" ht="16.5" hidden="false" customHeight="true" outlineLevel="0" collapsed="false">
      <c r="B14" s="3" t="s">
        <v>9</v>
      </c>
    </row>
    <row r="15" customFormat="false" ht="16.5" hidden="false" customHeight="true" outlineLevel="0" collapsed="false">
      <c r="B15" s="3" t="s">
        <v>10</v>
      </c>
    </row>
    <row r="16" customFormat="false" ht="16.5" hidden="false" customHeight="true" outlineLevel="0" collapsed="false">
      <c r="B16" s="5" t="s">
        <v>11</v>
      </c>
    </row>
    <row r="17" customFormat="false" ht="16.5" hidden="false" customHeight="true" outlineLevel="0" collapsed="false">
      <c r="B17" s="3" t="s">
        <v>12</v>
      </c>
    </row>
    <row r="18" customFormat="false" ht="16.5" hidden="false" customHeight="true" outlineLevel="0" collapsed="false">
      <c r="B18" s="5" t="s">
        <v>13</v>
      </c>
    </row>
    <row r="19" customFormat="false" ht="15" hidden="false" customHeight="true" outlineLevel="0" collapsed="false">
      <c r="B19" s="3"/>
    </row>
    <row r="20" customFormat="false" ht="16.5" hidden="false" customHeight="true" outlineLevel="0" collapsed="false">
      <c r="B20" s="4" t="s">
        <v>14</v>
      </c>
    </row>
    <row r="21" customFormat="false" ht="32.25" hidden="false" customHeight="true" outlineLevel="0" collapsed="false">
      <c r="B21" s="5" t="s">
        <v>15</v>
      </c>
    </row>
    <row r="22" customFormat="false" ht="16.5" hidden="false" customHeight="true" outlineLevel="0" collapsed="false">
      <c r="B22" s="5" t="s">
        <v>16</v>
      </c>
    </row>
    <row r="23" customFormat="false" ht="15" hidden="false" customHeight="true" outlineLevel="0" collapsed="false">
      <c r="B23" s="3"/>
    </row>
    <row r="24" customFormat="false" ht="16.5" hidden="false" customHeight="true" outlineLevel="0" collapsed="false">
      <c r="B24" s="4" t="s">
        <v>17</v>
      </c>
    </row>
    <row r="25" customFormat="false" ht="32.25" hidden="false" customHeight="true" outlineLevel="0" collapsed="false">
      <c r="B25" s="3" t="s">
        <v>18</v>
      </c>
    </row>
    <row r="26" customFormat="false" ht="16.5" hidden="false" customHeight="true" outlineLevel="0" collapsed="false">
      <c r="B26" s="5" t="s">
        <v>19</v>
      </c>
    </row>
    <row r="27" customFormat="false" ht="16.5" hidden="false" customHeight="true" outlineLevel="0" collapsed="false">
      <c r="B27" s="5" t="s">
        <v>20</v>
      </c>
    </row>
    <row r="28" customFormat="false" ht="32.25" hidden="false" customHeight="true" outlineLevel="0" collapsed="false">
      <c r="B28" s="3" t="s">
        <v>21</v>
      </c>
    </row>
    <row r="29" customFormat="false" ht="16.5" hidden="false" customHeight="true" outlineLevel="0" collapsed="false">
      <c r="B29" s="5" t="s">
        <v>22</v>
      </c>
    </row>
    <row r="30" customFormat="false" ht="32.25" hidden="false" customHeight="true" outlineLevel="0" collapsed="false">
      <c r="B30" s="5" t="s">
        <v>23</v>
      </c>
    </row>
    <row r="31" customFormat="false" ht="16.5" hidden="false" customHeight="true" outlineLevel="0" collapsed="false">
      <c r="B31" s="5" t="s">
        <v>24</v>
      </c>
    </row>
    <row r="32" customFormat="false" ht="32.25" hidden="false" customHeight="true" outlineLevel="0" collapsed="false">
      <c r="B32" s="3" t="s">
        <v>25</v>
      </c>
    </row>
    <row r="33" customFormat="false" ht="32.25" hidden="false" customHeight="true" outlineLevel="0" collapsed="false">
      <c r="B33" s="5" t="s">
        <v>26</v>
      </c>
    </row>
    <row r="34" customFormat="false" ht="16.5" hidden="false" customHeight="true" outlineLevel="0" collapsed="false">
      <c r="B34" s="5" t="s">
        <v>27</v>
      </c>
    </row>
    <row r="35" customFormat="false" ht="32.25" hidden="false" customHeight="true" outlineLevel="0" collapsed="false">
      <c r="B35" s="3" t="s">
        <v>28</v>
      </c>
    </row>
    <row r="36" customFormat="false" ht="32.25" hidden="false" customHeight="true" outlineLevel="0" collapsed="false">
      <c r="B36" s="5" t="s">
        <v>29</v>
      </c>
    </row>
    <row r="37" customFormat="false" ht="32.25" hidden="false" customHeight="true" outlineLevel="0" collapsed="false">
      <c r="B37" s="5" t="s">
        <v>30</v>
      </c>
    </row>
    <row r="38" customFormat="false" ht="16.5" hidden="false" customHeight="true" outlineLevel="0" collapsed="false">
      <c r="B38" s="5" t="s">
        <v>31</v>
      </c>
    </row>
    <row r="39" customFormat="false" ht="32.25" hidden="false" customHeight="true" outlineLevel="0" collapsed="false">
      <c r="B39" s="3" t="s">
        <v>32</v>
      </c>
    </row>
    <row r="40" customFormat="false" ht="29.25" hidden="false" customHeight="true" outlineLevel="0" collapsed="false">
      <c r="B40" s="5" t="s">
        <v>33</v>
      </c>
    </row>
    <row r="41" customFormat="false" ht="16.5" hidden="false" customHeight="true" outlineLevel="0" collapsed="false">
      <c r="B41" s="5" t="s">
        <v>34</v>
      </c>
    </row>
    <row r="42" customFormat="false" ht="16.5" hidden="false" customHeight="true" outlineLevel="0" collapsed="false">
      <c r="B42" s="5" t="s">
        <v>35</v>
      </c>
    </row>
    <row r="43" customFormat="false" ht="16.5" hidden="false" customHeight="true" outlineLevel="0" collapsed="false">
      <c r="B43" s="5" t="s">
        <v>36</v>
      </c>
    </row>
    <row r="44" customFormat="false" ht="16.5" hidden="false" customHeight="true" outlineLevel="0" collapsed="false">
      <c r="B44" s="5" t="s">
        <v>37</v>
      </c>
    </row>
    <row r="45" customFormat="false" ht="32.25" hidden="false" customHeight="true" outlineLevel="0" collapsed="false">
      <c r="B45" s="3" t="s">
        <v>38</v>
      </c>
    </row>
    <row r="46" customFormat="false" ht="32.25" hidden="false" customHeight="true" outlineLevel="0" collapsed="false">
      <c r="B46" s="5" t="s">
        <v>39</v>
      </c>
    </row>
    <row r="47" customFormat="false" ht="16.5" hidden="false" customHeight="true" outlineLevel="0" collapsed="false">
      <c r="B47" s="5" t="s">
        <v>40</v>
      </c>
    </row>
    <row r="48" customFormat="false" ht="15" hidden="false" customHeight="true" outlineLevel="0" collapsed="false">
      <c r="B48" s="3"/>
    </row>
    <row r="49" customFormat="false" ht="16.5" hidden="false" customHeight="true" outlineLevel="0" collapsed="false">
      <c r="B49" s="4" t="s">
        <v>41</v>
      </c>
    </row>
    <row r="50" customFormat="false" ht="16.5" hidden="false" customHeight="true" outlineLevel="0" collapsed="false">
      <c r="B50" s="5" t="s">
        <v>42</v>
      </c>
    </row>
    <row r="51" customFormat="false" ht="16.5" hidden="false" customHeight="true" outlineLevel="0" collapsed="false">
      <c r="B51" s="3" t="s">
        <v>43</v>
      </c>
    </row>
    <row r="52" customFormat="false" ht="16.5" hidden="false" customHeight="true" outlineLevel="0" collapsed="false">
      <c r="B52" s="5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2"/>
    <col collapsed="false" customWidth="true" hidden="false" outlineLevel="0" max="11" min="4" style="1" width="10"/>
  </cols>
  <sheetData>
    <row r="1" customFormat="false" ht="29.25" hidden="false" customHeight="true" outlineLevel="0" collapsed="false">
      <c r="A1" s="6" t="s">
        <v>45</v>
      </c>
      <c r="B1" s="6" t="s">
        <v>46</v>
      </c>
      <c r="D1" s="7" t="s">
        <v>47</v>
      </c>
      <c r="E1" s="7" t="s">
        <v>48</v>
      </c>
    </row>
    <row r="2" customFormat="false" ht="15" hidden="false" customHeight="true" outlineLevel="0" collapsed="false">
      <c r="A2" s="8" t="s">
        <v>49</v>
      </c>
      <c r="B2" s="8" t="n">
        <v>1.2</v>
      </c>
      <c r="D2" s="9" t="s">
        <v>49</v>
      </c>
      <c r="E2" s="9" t="n">
        <v>1.15</v>
      </c>
    </row>
    <row r="3" customFormat="false" ht="15" hidden="false" customHeight="true" outlineLevel="0" collapsed="false">
      <c r="A3" s="8" t="s">
        <v>50</v>
      </c>
      <c r="B3" s="8" t="n">
        <v>1.1</v>
      </c>
      <c r="D3" s="9" t="s">
        <v>50</v>
      </c>
      <c r="E3" s="9" t="n">
        <v>1.05</v>
      </c>
    </row>
    <row r="4" customFormat="false" ht="15" hidden="false" customHeight="true" outlineLevel="0" collapsed="false">
      <c r="A4" s="8" t="s">
        <v>51</v>
      </c>
      <c r="B4" s="8" t="n">
        <v>1</v>
      </c>
      <c r="D4" s="9" t="s">
        <v>51</v>
      </c>
      <c r="E4" s="9" t="n">
        <v>1</v>
      </c>
    </row>
    <row r="5" customFormat="false" ht="15" hidden="false" customHeight="true" outlineLevel="0" collapsed="false">
      <c r="A5" s="8" t="s">
        <v>52</v>
      </c>
      <c r="B5" s="8" t="n">
        <v>0.9</v>
      </c>
      <c r="D5" s="9" t="s">
        <v>52</v>
      </c>
      <c r="E5" s="9" t="n">
        <v>0.95</v>
      </c>
    </row>
    <row r="6" customFormat="false" ht="15" hidden="false" customHeight="true" outlineLevel="0" collapsed="false">
      <c r="A6" s="8" t="s">
        <v>53</v>
      </c>
      <c r="B6" s="8" t="n">
        <v>0.8</v>
      </c>
      <c r="D6" s="9" t="s">
        <v>53</v>
      </c>
      <c r="E6" s="9" t="n">
        <v>0.85</v>
      </c>
    </row>
    <row r="8" customFormat="false" ht="15" hidden="false" customHeight="true" outlineLevel="0" collapsed="false">
      <c r="D8" s="10" t="s">
        <v>54</v>
      </c>
    </row>
    <row r="9" customFormat="false" ht="32.25" hidden="false" customHeight="true" outlineLevel="0" collapsed="false">
      <c r="A9" s="6" t="s">
        <v>55</v>
      </c>
      <c r="B9" s="6" t="s">
        <v>56</v>
      </c>
      <c r="C9" s="6" t="s">
        <v>57</v>
      </c>
      <c r="D9" s="6" t="s">
        <v>58</v>
      </c>
      <c r="E9" s="6" t="s">
        <v>59</v>
      </c>
      <c r="F9" s="6" t="s">
        <v>60</v>
      </c>
      <c r="G9" s="6" t="s">
        <v>61</v>
      </c>
    </row>
    <row r="10" customFormat="false" ht="15" hidden="false" customHeight="true" outlineLevel="0" collapsed="false">
      <c r="A10" s="11" t="s">
        <v>62</v>
      </c>
      <c r="B10" s="8" t="n">
        <v>1.1</v>
      </c>
      <c r="C10" s="8" t="n">
        <v>1.15</v>
      </c>
      <c r="D10" s="8" t="n">
        <v>1</v>
      </c>
      <c r="E10" s="8" t="n">
        <v>0.9</v>
      </c>
      <c r="F10" s="8" t="n">
        <v>1</v>
      </c>
      <c r="G10" s="8" t="n">
        <v>0.85</v>
      </c>
    </row>
    <row r="11" customFormat="false" ht="15" hidden="false" customHeight="true" outlineLevel="0" collapsed="false">
      <c r="A11" s="11" t="s">
        <v>63</v>
      </c>
      <c r="B11" s="8" t="n">
        <v>0.9</v>
      </c>
      <c r="C11" s="8" t="n">
        <v>1.05</v>
      </c>
      <c r="D11" s="8" t="n">
        <v>1.1</v>
      </c>
      <c r="E11" s="8" t="n">
        <v>1</v>
      </c>
      <c r="F11" s="8" t="n">
        <v>1</v>
      </c>
      <c r="G11" s="8" t="n">
        <v>0.9</v>
      </c>
    </row>
    <row r="12" customFormat="false" ht="15" hidden="false" customHeight="true" outlineLevel="0" collapsed="false">
      <c r="A12" s="11" t="s">
        <v>64</v>
      </c>
      <c r="B12" s="8" t="n">
        <v>0.9</v>
      </c>
      <c r="C12" s="8" t="n">
        <v>1</v>
      </c>
      <c r="D12" s="8" t="n">
        <v>1.1</v>
      </c>
      <c r="E12" s="8" t="n">
        <v>1.05</v>
      </c>
      <c r="F12" s="8" t="n">
        <v>1</v>
      </c>
      <c r="G12" s="8" t="n">
        <v>0.9</v>
      </c>
    </row>
    <row r="13" customFormat="false" ht="15" hidden="false" customHeight="true" outlineLevel="0" collapsed="false">
      <c r="A13" s="11" t="s">
        <v>65</v>
      </c>
      <c r="B13" s="8" t="n">
        <v>0.85</v>
      </c>
      <c r="C13" s="8" t="n">
        <v>0.9</v>
      </c>
      <c r="D13" s="8" t="n">
        <v>1</v>
      </c>
      <c r="E13" s="8" t="n">
        <v>1.1</v>
      </c>
      <c r="F13" s="8" t="n">
        <v>1</v>
      </c>
      <c r="G13" s="8" t="n">
        <v>1.15</v>
      </c>
    </row>
    <row r="15" customFormat="false" ht="15" hidden="false" customHeight="true" outlineLevel="0" collapsed="false">
      <c r="A15" s="10" t="s">
        <v>66</v>
      </c>
    </row>
    <row r="16" customFormat="false" ht="32.25" hidden="false" customHeight="true" outlineLevel="0" collapsed="false">
      <c r="A16" s="6" t="s">
        <v>55</v>
      </c>
      <c r="B16" s="6" t="s">
        <v>56</v>
      </c>
      <c r="C16" s="6" t="s">
        <v>57</v>
      </c>
      <c r="D16" s="6" t="s">
        <v>58</v>
      </c>
      <c r="E16" s="6" t="s">
        <v>59</v>
      </c>
      <c r="F16" s="6" t="s">
        <v>61</v>
      </c>
    </row>
    <row r="17" customFormat="false" ht="15" hidden="false" customHeight="true" outlineLevel="0" collapsed="false">
      <c r="A17" s="11" t="s">
        <v>62</v>
      </c>
      <c r="B17" s="8" t="n">
        <v>1.15</v>
      </c>
      <c r="C17" s="8" t="n">
        <v>1.2</v>
      </c>
      <c r="D17" s="8" t="n">
        <v>1</v>
      </c>
      <c r="E17" s="8" t="n">
        <v>0.9</v>
      </c>
      <c r="F17" s="8" t="n">
        <v>0.85</v>
      </c>
    </row>
    <row r="18" customFormat="false" ht="15" hidden="false" customHeight="true" outlineLevel="0" collapsed="false">
      <c r="A18" s="11" t="s">
        <v>63</v>
      </c>
      <c r="B18" s="8" t="n">
        <v>1</v>
      </c>
      <c r="C18" s="8" t="n">
        <v>1.05</v>
      </c>
      <c r="D18" s="8" t="n">
        <v>1.05</v>
      </c>
      <c r="E18" s="8" t="n">
        <v>1</v>
      </c>
      <c r="F18" s="8" t="n">
        <v>0.95</v>
      </c>
    </row>
    <row r="19" customFormat="false" ht="15" hidden="false" customHeight="true" outlineLevel="0" collapsed="false">
      <c r="A19" s="11" t="s">
        <v>64</v>
      </c>
      <c r="B19" s="8" t="n">
        <v>0.95</v>
      </c>
      <c r="C19" s="8" t="n">
        <v>0.95</v>
      </c>
      <c r="D19" s="8" t="n">
        <v>1</v>
      </c>
      <c r="E19" s="8" t="n">
        <v>1.05</v>
      </c>
      <c r="F19" s="8" t="n">
        <v>1.05</v>
      </c>
    </row>
    <row r="20" customFormat="false" ht="15" hidden="false" customHeight="true" outlineLevel="0" collapsed="false">
      <c r="A20" s="11" t="s">
        <v>65</v>
      </c>
      <c r="B20" s="8" t="n">
        <v>0.9</v>
      </c>
      <c r="C20" s="8" t="n">
        <v>0.9</v>
      </c>
      <c r="D20" s="8" t="n">
        <v>0.95</v>
      </c>
      <c r="E20" s="8" t="n">
        <v>1.05</v>
      </c>
      <c r="F20" s="8" t="n">
        <v>1.15</v>
      </c>
    </row>
    <row r="22" customFormat="false" ht="15" hidden="false" customHeight="true" outlineLevel="0" collapsed="false">
      <c r="A22" s="10" t="s">
        <v>67</v>
      </c>
    </row>
    <row r="24" customFormat="false" ht="183" hidden="false" customHeight="true" outlineLevel="0" collapsed="false">
      <c r="A24" s="6" t="s">
        <v>68</v>
      </c>
      <c r="B24" s="6" t="s">
        <v>69</v>
      </c>
      <c r="C24" s="6" t="s">
        <v>70</v>
      </c>
    </row>
    <row r="25" customFormat="false" ht="15" hidden="false" customHeight="true" outlineLevel="0" collapsed="false">
      <c r="A25" s="11" t="s">
        <v>56</v>
      </c>
      <c r="B25" s="8" t="n">
        <v>100</v>
      </c>
      <c r="C25" s="8" t="s">
        <v>71</v>
      </c>
    </row>
    <row r="26" customFormat="false" ht="15" hidden="false" customHeight="true" outlineLevel="0" collapsed="false">
      <c r="A26" s="11" t="s">
        <v>57</v>
      </c>
      <c r="B26" s="8" t="n">
        <v>88</v>
      </c>
      <c r="C26" s="8" t="n">
        <v>12</v>
      </c>
    </row>
    <row r="27" customFormat="false" ht="15" hidden="false" customHeight="true" outlineLevel="0" collapsed="false">
      <c r="A27" s="11" t="s">
        <v>58</v>
      </c>
      <c r="B27" s="8" t="n">
        <v>64</v>
      </c>
      <c r="C27" s="8" t="n">
        <v>24</v>
      </c>
    </row>
    <row r="28" customFormat="false" ht="15" hidden="false" customHeight="true" outlineLevel="0" collapsed="false">
      <c r="A28" s="11" t="s">
        <v>59</v>
      </c>
      <c r="B28" s="8" t="n">
        <v>37</v>
      </c>
      <c r="C28" s="8" t="n">
        <v>27</v>
      </c>
    </row>
    <row r="29" customFormat="false" ht="15" hidden="false" customHeight="true" outlineLevel="0" collapsed="false">
      <c r="A29" s="11" t="s">
        <v>61</v>
      </c>
      <c r="B29" s="8" t="n">
        <v>12</v>
      </c>
      <c r="C29" s="8" t="n">
        <v>25</v>
      </c>
    </row>
    <row r="31" customFormat="false" ht="15" hidden="false" customHeight="true" outlineLevel="0" collapsed="false">
      <c r="A31" s="10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13" min="2" style="1" width="8"/>
    <col collapsed="false" customWidth="true" hidden="false" outlineLevel="0" max="15" min="14" style="1" width="14"/>
    <col collapsed="false" customWidth="true" hidden="false" outlineLevel="0" max="16" min="16" style="1" width="10"/>
    <col collapsed="false" customWidth="true" hidden="false" outlineLevel="0" max="17" min="17" style="1" width="14"/>
    <col collapsed="false" customWidth="true" hidden="false" outlineLevel="0" max="21" min="18" style="1" width="16"/>
    <col collapsed="false" customWidth="true" hidden="false" outlineLevel="0" max="24" min="22" style="1" width="10"/>
    <col collapsed="false" customWidth="true" hidden="false" outlineLevel="0" max="25" min="25" style="1" width="12"/>
  </cols>
  <sheetData>
    <row r="1" customFormat="false" ht="32.25" hidden="false" customHeight="true" outlineLevel="0" collapsed="false">
      <c r="A1" s="6" t="s">
        <v>73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56</v>
      </c>
      <c r="I1" s="6" t="s">
        <v>60</v>
      </c>
      <c r="J1" s="6" t="s">
        <v>80</v>
      </c>
      <c r="K1" s="6" t="s">
        <v>81</v>
      </c>
      <c r="L1" s="6" t="s">
        <v>82</v>
      </c>
      <c r="M1" s="6" t="s">
        <v>55</v>
      </c>
      <c r="N1" s="6" t="s">
        <v>83</v>
      </c>
      <c r="O1" s="6" t="s">
        <v>84</v>
      </c>
      <c r="P1" s="6" t="s">
        <v>85</v>
      </c>
      <c r="Q1" s="6" t="s">
        <v>86</v>
      </c>
      <c r="R1" s="6" t="s">
        <v>87</v>
      </c>
      <c r="S1" s="6" t="s">
        <v>88</v>
      </c>
      <c r="T1" s="6" t="s">
        <v>89</v>
      </c>
      <c r="U1" s="6" t="s">
        <v>90</v>
      </c>
      <c r="V1" s="6" t="s">
        <v>91</v>
      </c>
      <c r="W1" s="6" t="s">
        <v>92</v>
      </c>
      <c r="X1" s="6" t="s">
        <v>93</v>
      </c>
      <c r="Y1" s="6" t="s">
        <v>94</v>
      </c>
    </row>
    <row r="2" customFormat="false" ht="15" hidden="false" customHeight="true" outlineLevel="0" collapsed="false">
      <c r="A2" s="12" t="s">
        <v>95</v>
      </c>
      <c r="B2" s="12" t="n">
        <v>82</v>
      </c>
      <c r="C2" s="12" t="n">
        <v>78</v>
      </c>
      <c r="D2" s="12" t="n">
        <v>80</v>
      </c>
      <c r="E2" s="12" t="n">
        <v>75</v>
      </c>
      <c r="F2" s="12" t="n">
        <v>78</v>
      </c>
      <c r="G2" s="12" t="n">
        <v>72</v>
      </c>
      <c r="H2" s="12" t="n">
        <v>76</v>
      </c>
      <c r="I2" s="12" t="n">
        <v>74</v>
      </c>
      <c r="J2" s="12" t="n">
        <v>70</v>
      </c>
      <c r="K2" s="12" t="n">
        <v>75</v>
      </c>
      <c r="L2" s="12" t="n">
        <v>80</v>
      </c>
      <c r="M2" s="12" t="s">
        <v>62</v>
      </c>
      <c r="N2" s="13" t="s">
        <v>50</v>
      </c>
      <c r="O2" s="13" t="s">
        <v>50</v>
      </c>
      <c r="P2" s="13" t="s">
        <v>49</v>
      </c>
      <c r="Q2" s="12" t="n">
        <v>0</v>
      </c>
      <c r="R2" s="12" t="n">
        <v>1.05</v>
      </c>
      <c r="S2" s="12" t="n">
        <v>85</v>
      </c>
      <c r="T2" s="12" t="n">
        <v>82</v>
      </c>
      <c r="U2" s="12" t="n">
        <v>78</v>
      </c>
      <c r="V2" s="14" t="n">
        <v>0.06</v>
      </c>
      <c r="W2" s="14" t="n">
        <v>0.08</v>
      </c>
      <c r="X2" s="14" t="n">
        <v>0.02</v>
      </c>
      <c r="Y2" s="12" t="n">
        <v>1</v>
      </c>
    </row>
    <row r="3" customFormat="false" ht="15" hidden="false" customHeight="true" outlineLevel="0" collapsed="false">
      <c r="A3" s="12" t="s">
        <v>96</v>
      </c>
      <c r="B3" s="12" t="n">
        <v>90</v>
      </c>
      <c r="C3" s="12" t="n">
        <v>55</v>
      </c>
      <c r="D3" s="12" t="n">
        <v>85</v>
      </c>
      <c r="E3" s="12" t="n">
        <v>60</v>
      </c>
      <c r="F3" s="12" t="n">
        <v>50</v>
      </c>
      <c r="G3" s="12" t="n">
        <v>60</v>
      </c>
      <c r="H3" s="12" t="n">
        <v>82</v>
      </c>
      <c r="I3" s="12" t="n">
        <v>55</v>
      </c>
      <c r="J3" s="12" t="n">
        <v>60</v>
      </c>
      <c r="K3" s="12" t="n">
        <v>55</v>
      </c>
      <c r="L3" s="12" t="n">
        <v>70</v>
      </c>
      <c r="M3" s="12" t="s">
        <v>62</v>
      </c>
      <c r="N3" s="13" t="s">
        <v>51</v>
      </c>
      <c r="O3" s="13" t="s">
        <v>51</v>
      </c>
      <c r="P3" s="13" t="s">
        <v>50</v>
      </c>
      <c r="Q3" s="12" t="n">
        <v>-1</v>
      </c>
      <c r="R3" s="12" t="n">
        <v>0.95</v>
      </c>
      <c r="S3" s="12" t="n">
        <v>70</v>
      </c>
      <c r="T3" s="12" t="n">
        <v>68</v>
      </c>
      <c r="U3" s="12" t="n">
        <v>60</v>
      </c>
      <c r="V3" s="14" t="n">
        <v>0.05</v>
      </c>
      <c r="W3" s="14" t="n">
        <v>0.05</v>
      </c>
      <c r="X3" s="14" t="n">
        <v>-0.03</v>
      </c>
      <c r="Y3" s="12" t="n">
        <v>1.05</v>
      </c>
    </row>
    <row r="4" customFormat="false" ht="15" hidden="false" customHeight="true" outlineLevel="0" collapsed="false">
      <c r="A4" s="12" t="s">
        <v>97</v>
      </c>
      <c r="B4" s="12" t="n">
        <v>60</v>
      </c>
      <c r="C4" s="12" t="n">
        <v>88</v>
      </c>
      <c r="D4" s="12" t="n">
        <v>55</v>
      </c>
      <c r="E4" s="12" t="n">
        <v>65</v>
      </c>
      <c r="F4" s="12" t="n">
        <v>82</v>
      </c>
      <c r="G4" s="12" t="n">
        <v>65</v>
      </c>
      <c r="H4" s="12" t="n">
        <v>55</v>
      </c>
      <c r="I4" s="12" t="n">
        <v>60</v>
      </c>
      <c r="J4" s="12" t="n">
        <v>65</v>
      </c>
      <c r="K4" s="12" t="n">
        <v>70</v>
      </c>
      <c r="L4" s="12" t="n">
        <v>75</v>
      </c>
      <c r="M4" s="12" t="s">
        <v>65</v>
      </c>
      <c r="N4" s="13" t="s">
        <v>50</v>
      </c>
      <c r="O4" s="13" t="s">
        <v>51</v>
      </c>
      <c r="P4" s="13" t="s">
        <v>51</v>
      </c>
      <c r="Q4" s="12" t="n">
        <v>2</v>
      </c>
      <c r="R4" s="12" t="n">
        <v>1</v>
      </c>
      <c r="S4" s="12" t="n">
        <v>75</v>
      </c>
      <c r="T4" s="12" t="n">
        <v>78</v>
      </c>
      <c r="U4" s="12" t="n">
        <v>80</v>
      </c>
      <c r="V4" s="14" t="n">
        <v>0.04</v>
      </c>
      <c r="W4" s="14" t="n">
        <v>0.1</v>
      </c>
      <c r="X4" s="14" t="n">
        <v>0.01</v>
      </c>
      <c r="Y4" s="12" t="n">
        <v>0.95</v>
      </c>
    </row>
    <row r="5" customFormat="false" ht="15" hidden="false" customHeight="true" outlineLevel="0" collapsed="false">
      <c r="A5" s="12" t="s">
        <v>98</v>
      </c>
      <c r="B5" s="12" t="n">
        <v>65</v>
      </c>
      <c r="C5" s="12" t="n">
        <v>65</v>
      </c>
      <c r="D5" s="12" t="n">
        <v>65</v>
      </c>
      <c r="E5" s="12" t="n">
        <v>65</v>
      </c>
      <c r="F5" s="12" t="n">
        <v>65</v>
      </c>
      <c r="G5" s="12" t="n">
        <v>65</v>
      </c>
      <c r="H5" s="12" t="n">
        <v>65</v>
      </c>
      <c r="I5" s="12" t="n">
        <v>65</v>
      </c>
      <c r="J5" s="12" t="n">
        <v>65</v>
      </c>
      <c r="K5" s="12" t="n">
        <v>65</v>
      </c>
      <c r="L5" s="12" t="n">
        <v>65</v>
      </c>
      <c r="M5" s="12" t="s">
        <v>63</v>
      </c>
      <c r="N5" s="13" t="s">
        <v>51</v>
      </c>
      <c r="O5" s="13" t="s">
        <v>51</v>
      </c>
      <c r="P5" s="13" t="s">
        <v>51</v>
      </c>
      <c r="Q5" s="12" t="n">
        <v>1</v>
      </c>
      <c r="R5" s="12" t="n">
        <v>1</v>
      </c>
      <c r="S5" s="12" t="n">
        <v>65</v>
      </c>
      <c r="T5" s="12" t="n">
        <v>65</v>
      </c>
      <c r="U5" s="12" t="n">
        <v>65</v>
      </c>
      <c r="V5" s="14" t="n">
        <v>0</v>
      </c>
      <c r="W5" s="14" t="n">
        <v>0</v>
      </c>
      <c r="X5" s="14" t="n">
        <v>0</v>
      </c>
      <c r="Y5" s="12" t="n">
        <v>1</v>
      </c>
    </row>
    <row r="6" customFormat="false" ht="15" hidden="false" customHeight="true" outlineLevel="0" collapsed="false">
      <c r="A6" s="12" t="s">
        <v>99</v>
      </c>
      <c r="B6" s="12" t="n">
        <v>45</v>
      </c>
      <c r="C6" s="12" t="n">
        <v>42</v>
      </c>
      <c r="D6" s="12" t="n">
        <v>48</v>
      </c>
      <c r="E6" s="12" t="n">
        <v>40</v>
      </c>
      <c r="F6" s="12" t="n">
        <v>44</v>
      </c>
      <c r="G6" s="12" t="n">
        <v>50</v>
      </c>
      <c r="H6" s="12" t="n">
        <v>42</v>
      </c>
      <c r="I6" s="12" t="n">
        <v>40</v>
      </c>
      <c r="J6" s="12" t="n">
        <v>45</v>
      </c>
      <c r="K6" s="12" t="n">
        <v>46</v>
      </c>
      <c r="L6" s="12" t="n">
        <v>55</v>
      </c>
      <c r="M6" s="12" t="s">
        <v>64</v>
      </c>
      <c r="N6" s="13" t="s">
        <v>52</v>
      </c>
      <c r="O6" s="13" t="s">
        <v>52</v>
      </c>
      <c r="P6" s="13" t="s">
        <v>51</v>
      </c>
      <c r="Q6" s="12" t="n">
        <v>0</v>
      </c>
      <c r="R6" s="12" t="n">
        <v>0.9</v>
      </c>
      <c r="S6" s="12" t="n">
        <v>55</v>
      </c>
      <c r="T6" s="12" t="n">
        <v>55</v>
      </c>
      <c r="U6" s="12" t="n">
        <v>55</v>
      </c>
      <c r="V6" s="14" t="n">
        <v>0.03</v>
      </c>
      <c r="W6" s="14" t="n">
        <v>0.02</v>
      </c>
      <c r="X6" s="14" t="n">
        <v>-0.02</v>
      </c>
      <c r="Y6" s="12" t="n">
        <v>1</v>
      </c>
    </row>
    <row r="7" customFormat="false" ht="15" hidden="false" customHeight="true" outlineLevel="0" collapsed="false">
      <c r="A7" s="12" t="s">
        <v>100</v>
      </c>
      <c r="B7" s="12" t="n">
        <v>68</v>
      </c>
      <c r="C7" s="12" t="n">
        <v>70</v>
      </c>
      <c r="D7" s="12" t="n">
        <v>62</v>
      </c>
      <c r="E7" s="12" t="n">
        <v>68</v>
      </c>
      <c r="F7" s="12" t="n">
        <v>72</v>
      </c>
      <c r="G7" s="12" t="n">
        <v>88</v>
      </c>
      <c r="H7" s="12" t="n">
        <v>70</v>
      </c>
      <c r="I7" s="12" t="n">
        <v>68</v>
      </c>
      <c r="J7" s="12" t="n">
        <v>66</v>
      </c>
      <c r="K7" s="12" t="n">
        <v>90</v>
      </c>
      <c r="L7" s="12" t="n">
        <v>68</v>
      </c>
      <c r="M7" s="12" t="s">
        <v>63</v>
      </c>
      <c r="N7" s="13" t="s">
        <v>50</v>
      </c>
      <c r="O7" s="13" t="s">
        <v>51</v>
      </c>
      <c r="P7" s="13" t="s">
        <v>51</v>
      </c>
      <c r="Q7" s="12" t="n">
        <v>0</v>
      </c>
      <c r="R7" s="12" t="n">
        <v>1.1</v>
      </c>
      <c r="S7" s="12" t="n">
        <v>88</v>
      </c>
      <c r="T7" s="12" t="n">
        <v>85</v>
      </c>
      <c r="U7" s="12" t="n">
        <v>88</v>
      </c>
      <c r="V7" s="14" t="n">
        <v>0.02</v>
      </c>
      <c r="W7" s="14" t="n">
        <v>0.03</v>
      </c>
      <c r="X7" s="14" t="n">
        <v>0</v>
      </c>
      <c r="Y7" s="12" t="n">
        <v>0.9</v>
      </c>
    </row>
    <row r="8" customFormat="false" ht="15" hidden="false" customHeight="true" outlineLevel="0" collapsed="false">
      <c r="A8" s="12" t="s">
        <v>101</v>
      </c>
      <c r="B8" s="12" t="n">
        <v>66</v>
      </c>
      <c r="C8" s="12" t="n">
        <v>62</v>
      </c>
      <c r="D8" s="12" t="n">
        <v>64</v>
      </c>
      <c r="E8" s="12" t="n">
        <v>85</v>
      </c>
      <c r="F8" s="12" t="n">
        <v>60</v>
      </c>
      <c r="G8" s="12" t="n">
        <v>68</v>
      </c>
      <c r="H8" s="12" t="n">
        <v>62</v>
      </c>
      <c r="I8" s="12" t="n">
        <v>92</v>
      </c>
      <c r="J8" s="12" t="n">
        <v>68</v>
      </c>
      <c r="K8" s="12" t="n">
        <v>62</v>
      </c>
      <c r="L8" s="12" t="n">
        <v>72</v>
      </c>
      <c r="M8" s="12" t="s">
        <v>63</v>
      </c>
      <c r="N8" s="13" t="s">
        <v>51</v>
      </c>
      <c r="O8" s="13" t="s">
        <v>49</v>
      </c>
      <c r="P8" s="13" t="s">
        <v>51</v>
      </c>
      <c r="Q8" s="12" t="n">
        <v>-2</v>
      </c>
      <c r="R8" s="12" t="n">
        <v>1</v>
      </c>
      <c r="S8" s="12" t="n">
        <v>72</v>
      </c>
      <c r="T8" s="12" t="n">
        <v>70</v>
      </c>
      <c r="U8" s="12" t="n">
        <v>66</v>
      </c>
      <c r="V8" s="14" t="n">
        <v>0.07</v>
      </c>
      <c r="W8" s="14" t="n">
        <v>0.04</v>
      </c>
      <c r="X8" s="14" t="n">
        <v>0.01</v>
      </c>
      <c r="Y8" s="12" t="n">
        <v>1</v>
      </c>
    </row>
    <row r="9" customFormat="false" ht="15" hidden="false" customHeight="true" outlineLevel="0" collapsed="false">
      <c r="A9" s="12" t="s">
        <v>102</v>
      </c>
      <c r="B9" s="12" t="n">
        <v>78</v>
      </c>
      <c r="C9" s="12" t="n">
        <v>60</v>
      </c>
      <c r="D9" s="12" t="n">
        <v>82</v>
      </c>
      <c r="E9" s="12" t="n">
        <v>58</v>
      </c>
      <c r="F9" s="12" t="n">
        <v>84</v>
      </c>
      <c r="G9" s="12" t="n">
        <v>58</v>
      </c>
      <c r="H9" s="12" t="n">
        <v>60</v>
      </c>
      <c r="I9" s="12" t="n">
        <v>58</v>
      </c>
      <c r="J9" s="12" t="n">
        <v>62</v>
      </c>
      <c r="K9" s="12" t="n">
        <v>55</v>
      </c>
      <c r="L9" s="12" t="n">
        <v>78</v>
      </c>
      <c r="M9" s="12" t="s">
        <v>65</v>
      </c>
      <c r="N9" s="13" t="s">
        <v>51</v>
      </c>
      <c r="O9" s="13" t="s">
        <v>51</v>
      </c>
      <c r="P9" s="13" t="s">
        <v>50</v>
      </c>
      <c r="Q9" s="12" t="n">
        <v>1</v>
      </c>
      <c r="R9" s="12" t="n">
        <v>0.95</v>
      </c>
      <c r="S9" s="12" t="n">
        <v>68</v>
      </c>
      <c r="T9" s="12" t="n">
        <v>66</v>
      </c>
      <c r="U9" s="12" t="n">
        <v>62</v>
      </c>
      <c r="V9" s="14" t="n">
        <v>0.05</v>
      </c>
      <c r="W9" s="14" t="n">
        <v>0.09</v>
      </c>
      <c r="X9" s="14" t="n">
        <v>0.02</v>
      </c>
      <c r="Y9" s="12" t="n">
        <v>1.1</v>
      </c>
    </row>
    <row r="11" customFormat="false" ht="15" hidden="false" customHeight="true" outlineLevel="0" collapsed="false">
      <c r="A11" s="10" t="s">
        <v>103</v>
      </c>
    </row>
    <row r="12" customFormat="false" ht="15" hidden="false" customHeight="true" outlineLevel="0" collapsed="false">
      <c r="A12" s="10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3" min="2" style="1" width="10"/>
  </cols>
  <sheetData>
    <row r="1" customFormat="false" ht="16.5" hidden="false" customHeight="true" outlineLevel="0" collapsed="false">
      <c r="A1" s="15" t="s">
        <v>105</v>
      </c>
      <c r="B1" s="16" t="n">
        <v>1</v>
      </c>
      <c r="D1" s="10" t="s">
        <v>106</v>
      </c>
    </row>
    <row r="2" customFormat="false" ht="16.5" hidden="false" customHeight="true" outlineLevel="0" collapsed="false">
      <c r="A2" s="15" t="s">
        <v>107</v>
      </c>
      <c r="B2" s="16" t="n">
        <v>1</v>
      </c>
    </row>
    <row r="4" customFormat="false" ht="45" hidden="false" customHeight="true" outlineLevel="0" collapsed="false">
      <c r="A4" s="6" t="s">
        <v>73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112</v>
      </c>
      <c r="G4" s="6" t="s">
        <v>113</v>
      </c>
      <c r="H4" s="6" t="s">
        <v>114</v>
      </c>
      <c r="I4" s="6" t="s">
        <v>115</v>
      </c>
      <c r="J4" s="6" t="s">
        <v>116</v>
      </c>
      <c r="K4" s="6" t="s">
        <v>117</v>
      </c>
      <c r="L4" s="6" t="s">
        <v>118</v>
      </c>
      <c r="M4" s="6" t="s">
        <v>119</v>
      </c>
      <c r="N4" s="6" t="s">
        <v>120</v>
      </c>
      <c r="O4" s="6" t="s">
        <v>121</v>
      </c>
      <c r="P4" s="6" t="s">
        <v>122</v>
      </c>
      <c r="Q4" s="6" t="s">
        <v>123</v>
      </c>
      <c r="R4" s="6" t="s">
        <v>124</v>
      </c>
      <c r="S4" s="6" t="s">
        <v>125</v>
      </c>
      <c r="T4" s="6" t="s">
        <v>126</v>
      </c>
      <c r="U4" s="6" t="s">
        <v>127</v>
      </c>
      <c r="V4" s="6" t="s">
        <v>128</v>
      </c>
      <c r="W4" s="6" t="s">
        <v>129</v>
      </c>
      <c r="X4" s="6" t="s">
        <v>130</v>
      </c>
      <c r="Y4" s="6" t="s">
        <v>131</v>
      </c>
      <c r="Z4" s="6" t="s">
        <v>132</v>
      </c>
      <c r="AA4" s="6" t="s">
        <v>133</v>
      </c>
      <c r="AB4" s="6" t="s">
        <v>134</v>
      </c>
      <c r="AC4" s="6" t="s">
        <v>135</v>
      </c>
      <c r="AD4" s="6" t="s">
        <v>136</v>
      </c>
      <c r="AE4" s="6" t="s">
        <v>137</v>
      </c>
      <c r="AF4" s="6" t="s">
        <v>138</v>
      </c>
      <c r="AG4" s="6" t="s">
        <v>139</v>
      </c>
      <c r="AH4" s="6" t="s">
        <v>140</v>
      </c>
      <c r="AI4" s="6" t="s">
        <v>141</v>
      </c>
      <c r="AJ4" s="6" t="s">
        <v>142</v>
      </c>
      <c r="AK4" s="6" t="s">
        <v>143</v>
      </c>
      <c r="AL4" s="6" t="s">
        <v>144</v>
      </c>
      <c r="AM4" s="6" t="s">
        <v>145</v>
      </c>
      <c r="AN4" s="6" t="s">
        <v>146</v>
      </c>
    </row>
    <row r="5" customFormat="false" ht="15" hidden="false" customHeight="true" outlineLevel="0" collapsed="false">
      <c r="A5" s="8" t="str">
        <f aca="false">屬性設定!A2</f>
        <v>全能強馬</v>
      </c>
      <c r="B5" s="8" t="n">
        <f aca="false">屬性設定!D2*0.3+屬性設定!H2*0.5+屬性設定!K2*0.2</f>
        <v>77</v>
      </c>
      <c r="C5" s="8" t="n">
        <f aca="false">B5*$AG5*INDEX(對照表!$B$10:$B$13,MATCH(屬性設定!M2,對照表!$A$10:$A$13,0))</f>
        <v>137.39228489448</v>
      </c>
      <c r="D5" s="8" t="n">
        <f aca="false">AVERAGE(C$5:C$12)</f>
        <v>75.4410404550366</v>
      </c>
      <c r="E5" s="8" t="n">
        <f aca="false">(C5-D5)/D5</f>
        <v>0.821187566684832</v>
      </c>
      <c r="F5" s="8" t="n">
        <f aca="false">AVERAGE(E5)</f>
        <v>0.821187566684832</v>
      </c>
      <c r="G5" s="8" t="n">
        <f aca="false">屬性設定!B2*0.65+(屬性設定!S2*0.6+屬性設定!T2*0.4)*0.35</f>
        <v>82.63</v>
      </c>
      <c r="H5" s="8" t="n">
        <f aca="false">G5*$AG5*INDEX(對照表!$C$10:$C$13,MATCH(屬性設定!M2,對照表!$A$10:$A$13,0))</f>
        <v>154.139706918011</v>
      </c>
      <c r="I5" s="8" t="n">
        <f aca="false">AVERAGE(H$5:H$12)</f>
        <v>88.6862377168945</v>
      </c>
      <c r="J5" s="8" t="n">
        <f aca="false">(H5-I5)/I5</f>
        <v>0.738034117650338</v>
      </c>
      <c r="K5" s="8" t="n">
        <f aca="false">AVERAGE(E5,J5)</f>
        <v>0.779610842167585</v>
      </c>
      <c r="L5" s="8" t="n">
        <f aca="false">屬性設定!B2*0.3+屬性設定!C2*0.3+(屬性設定!T2*0.5+屬性設定!U2*0.5)*0.4</f>
        <v>80</v>
      </c>
      <c r="M5" s="8" t="n">
        <f aca="false">L5*$AG5*INDEX(對照表!$D$10:$D$13,MATCH(屬性設定!M2,對照表!$A$10:$A$13,0))</f>
        <v>129.768391872</v>
      </c>
      <c r="N5" s="8" t="n">
        <f aca="false">AVERAGE(M$5:M$12)</f>
        <v>86.3313397354556</v>
      </c>
      <c r="O5" s="8" t="n">
        <f aca="false">(M5-N5)/N5</f>
        <v>0.503143496552332</v>
      </c>
      <c r="P5" s="8" t="n">
        <f aca="false">AVERAGE(E5,J5,O5)</f>
        <v>0.687455060295834</v>
      </c>
      <c r="Q5" s="8" t="n">
        <f aca="false">屬性設定!C2*0.5+屬性設定!F2*0.2+AN5*0.3</f>
        <v>67.89672</v>
      </c>
      <c r="R5" s="8" t="n">
        <f aca="false">Q5*$AG5*INDEX(對照表!$E$10:$E$13,MATCH(屬性設定!M2,對照表!$A$10:$A$13,0))</f>
        <v>99.122041887564</v>
      </c>
      <c r="S5" s="8" t="n">
        <f aca="false">AVERAGE(R$5:R$12)</f>
        <v>70.3905033911856</v>
      </c>
      <c r="T5" s="8" t="n">
        <f aca="false">(R5-S5)/S5</f>
        <v>0.408173505120525</v>
      </c>
      <c r="U5" s="8" t="n">
        <f aca="false">AVERAGE(E5,J5,O5,T5)</f>
        <v>0.617634671502007</v>
      </c>
      <c r="V5" s="8" t="n">
        <f aca="false">屬性設定!E2*0.2+屬性設定!G2*0.4+屬性設定!I2*0.4</f>
        <v>73.4</v>
      </c>
      <c r="W5" s="8" t="n">
        <f aca="false">V5*$AG5*INDEX(對照表!$F$10:$F$13,MATCH(屬性設定!M2,對照表!$A$10:$A$13,0))</f>
        <v>119.06249954256</v>
      </c>
      <c r="X5" s="8" t="n">
        <f aca="false">AVERAGE(W$5:W$12)</f>
        <v>78.7045091977575</v>
      </c>
      <c r="Y5" s="8" t="n">
        <f aca="false">(W5-X5)/X5</f>
        <v>0.512778629282812</v>
      </c>
      <c r="Z5" s="8" t="n">
        <f aca="false">AVERAGE(E5,J5,O5,T5,Y5)</f>
        <v>0.596663463058168</v>
      </c>
      <c r="AA5" s="8" t="n">
        <f aca="false">屬性設定!B2*0.4+屬性設定!D2*0.4+屬性設定!F2*0.2</f>
        <v>80.4</v>
      </c>
      <c r="AB5" s="8" t="n">
        <f aca="false">AA5*$AG5*INDEX(對照表!$G$10:$G$13,MATCH(屬性設定!M2,對照表!$A$10:$A$13,0))</f>
        <v>110.854648756656</v>
      </c>
      <c r="AC5" s="8" t="n">
        <f aca="false">AVERAGE(AB$5:AB$12)</f>
        <v>78.2673624450495</v>
      </c>
      <c r="AD5" s="8" t="n">
        <f aca="false">(AB5-AC5)/AC5</f>
        <v>0.416358559859298</v>
      </c>
      <c r="AE5" s="8" t="n">
        <f aca="false">AVERAGE(E5,J5,O5,T5,Y5,AD5)</f>
        <v>0.566612645858356</v>
      </c>
      <c r="AF5" s="8" t="n">
        <f aca="false">RANK(AE5,AE$5:AE$12,0)</f>
        <v>1</v>
      </c>
      <c r="AG5" s="8" t="n">
        <f aca="false">屬性設定!R2*INDEX(對照表!$E$2:$E$6,MATCH(屬性設定!N2,對照表!$D$2:$D$6,0))*INDEX(對照表!$E$2:$E$6,MATCH(屬性設定!O2,對照表!$D$2:$D$6,0))*INDEX(對照表!$B$2:$B$6,MATCH(屬性設定!P2,對照表!$A$2:$A$6,0))*(1-0.01*屬性設定!Q2)*(1+屬性設定!V2)*(1+屬性設定!W2)*(1+屬性設定!X2)</f>
        <v>1.6221048984</v>
      </c>
      <c r="AH5" s="8" t="n">
        <f aca="false">1.2-(屬性設定!C2/100)*0.4</f>
        <v>0.888</v>
      </c>
      <c r="AI5" s="8" t="n">
        <f aca="false">12*$B$1*$AH5*INDEX(對照表!$C$17:$C$20,MATCH(屬性設定!M2,對照表!$A$17:$A$20,0))*屬性設定!Y2*$B$2</f>
        <v>12.7872</v>
      </c>
      <c r="AJ5" s="8" t="n">
        <f aca="false">100-AI5</f>
        <v>87.2128</v>
      </c>
      <c r="AK5" s="8" t="n">
        <f aca="false">24*$B$1*$AH5*INDEX(對照表!$D$17:$D$20,MATCH(屬性設定!M2,對照表!$A$17:$A$20,0))*屬性設定!Y2*$B$2</f>
        <v>21.312</v>
      </c>
      <c r="AL5" s="8" t="n">
        <f aca="false">AJ5-AK5</f>
        <v>65.9008</v>
      </c>
      <c r="AM5" s="8" t="n">
        <f aca="false">27*$B$1*$AH5*INDEX(對照表!$E$17:$E$20,MATCH(屬性設定!M2,對照表!$A$17:$A$20,0))*屬性設定!Y2*$B$2</f>
        <v>21.5784</v>
      </c>
      <c r="AN5" s="8" t="n">
        <f aca="false">AL5-AM5</f>
        <v>44.3224</v>
      </c>
    </row>
    <row r="6" customFormat="false" ht="15" hidden="false" customHeight="true" outlineLevel="0" collapsed="false">
      <c r="A6" s="8" t="str">
        <f aca="false">屬性設定!A3</f>
        <v>速度型快馬</v>
      </c>
      <c r="B6" s="8" t="n">
        <f aca="false">屬性設定!D3*0.3+屬性設定!H3*0.5+屬性設定!K3*0.2</f>
        <v>77.5</v>
      </c>
      <c r="C6" s="8" t="n">
        <f aca="false">B6*$AG6*INDEX(對照表!$B$10:$B$13,MATCH(屬性設定!M3,對照表!$A$10:$A$13,0))</f>
        <v>96.2237735353125</v>
      </c>
      <c r="D6" s="8" t="n">
        <f aca="false">AVERAGE(C$5:C$12)</f>
        <v>75.4410404550366</v>
      </c>
      <c r="E6" s="8" t="n">
        <f aca="false">(C6-D6)/D6</f>
        <v>0.275483118405062</v>
      </c>
      <c r="F6" s="8" t="n">
        <f aca="false">AVERAGE(E6)</f>
        <v>0.275483118405062</v>
      </c>
      <c r="G6" s="8" t="n">
        <f aca="false">屬性設定!B3*0.65+(屬性設定!S3*0.6+屬性設定!T3*0.4)*0.35</f>
        <v>82.72</v>
      </c>
      <c r="H6" s="8" t="n">
        <f aca="false">G6*$AG6*INDEX(對照表!$C$10:$C$13,MATCH(屬性設定!M3,對照表!$A$10:$A$13,0))</f>
        <v>107.37331529463</v>
      </c>
      <c r="I6" s="8" t="n">
        <f aca="false">AVERAGE(H$5:H$12)</f>
        <v>88.6862377168945</v>
      </c>
      <c r="J6" s="8" t="n">
        <f aca="false">(H6-I6)/I6</f>
        <v>0.210710004830611</v>
      </c>
      <c r="K6" s="8" t="n">
        <f aca="false">AVERAGE(E6,J6)</f>
        <v>0.243096561617836</v>
      </c>
      <c r="L6" s="8" t="n">
        <f aca="false">屬性設定!B3*0.3+屬性設定!C3*0.3+(屬性設定!T3*0.5+屬性設定!U3*0.5)*0.4</f>
        <v>69.1</v>
      </c>
      <c r="M6" s="8" t="n">
        <f aca="false">L6*$AG6*INDEX(對照表!$D$10:$D$13,MATCH(屬性設定!M3,對照表!$A$10:$A$13,0))</f>
        <v>77.994870982875</v>
      </c>
      <c r="N6" s="8" t="n">
        <f aca="false">AVERAGE(M$5:M$12)</f>
        <v>86.3313397354556</v>
      </c>
      <c r="O6" s="8" t="n">
        <f aca="false">(M6-N6)/N6</f>
        <v>-0.0965636439574089</v>
      </c>
      <c r="P6" s="8" t="n">
        <f aca="false">AVERAGE(E6,J6,O6)</f>
        <v>0.129876493092755</v>
      </c>
      <c r="Q6" s="8" t="n">
        <f aca="false">屬性設定!C3*0.5+屬性設定!F3*0.2+AN6*0.3</f>
        <v>48.14451</v>
      </c>
      <c r="R6" s="8" t="n">
        <f aca="false">Q6*$AG6*INDEX(對照表!$E$10:$E$13,MATCH(屬性設定!M3,對照表!$A$10:$A$13,0))</f>
        <v>48.9077042168649</v>
      </c>
      <c r="S6" s="8" t="n">
        <f aca="false">AVERAGE(R$5:R$12)</f>
        <v>70.3905033911856</v>
      </c>
      <c r="T6" s="8" t="n">
        <f aca="false">(R6-S6)/S6</f>
        <v>-0.3051945665871</v>
      </c>
      <c r="U6" s="8" t="n">
        <f aca="false">AVERAGE(E6,J6,O6,T6)</f>
        <v>0.0211087281727909</v>
      </c>
      <c r="V6" s="8" t="n">
        <f aca="false">屬性設定!E3*0.2+屬性設定!G3*0.4+屬性設定!I3*0.4</f>
        <v>58</v>
      </c>
      <c r="W6" s="8" t="n">
        <f aca="false">V6*$AG6*INDEX(對照表!$F$10:$F$13,MATCH(屬性設定!M3,對照表!$A$10:$A$13,0))</f>
        <v>65.4660277425</v>
      </c>
      <c r="X6" s="8" t="n">
        <f aca="false">AVERAGE(W$5:W$12)</f>
        <v>78.7045091977575</v>
      </c>
      <c r="Y6" s="8" t="n">
        <f aca="false">(W6-X6)/X6</f>
        <v>-0.168204866407257</v>
      </c>
      <c r="Z6" s="8" t="n">
        <f aca="false">AVERAGE(E6,J6,O6,T6,Y6)</f>
        <v>-0.0167539907432186</v>
      </c>
      <c r="AA6" s="8" t="n">
        <f aca="false">屬性設定!B3*0.4+屬性設定!D3*0.4+屬性設定!F3*0.2</f>
        <v>80</v>
      </c>
      <c r="AB6" s="8" t="n">
        <f aca="false">AA6*$AG6*INDEX(對照表!$G$10:$G$13,MATCH(屬性設定!M3,對照表!$A$10:$A$13,0))</f>
        <v>76.753273905</v>
      </c>
      <c r="AC6" s="8" t="n">
        <f aca="false">AVERAGE(AB$5:AB$12)</f>
        <v>78.2673624450495</v>
      </c>
      <c r="AD6" s="8" t="n">
        <f aca="false">(AB6-AC6)/AC6</f>
        <v>-0.0193450819441186</v>
      </c>
      <c r="AE6" s="8" t="n">
        <f aca="false">AVERAGE(E6,J6,O6,T6,Y6,AD6)</f>
        <v>-0.0171858392767019</v>
      </c>
      <c r="AF6" s="8" t="n">
        <f aca="false">RANK(AE6,AE$5:AE$12,0)</f>
        <v>6</v>
      </c>
      <c r="AG6" s="8" t="n">
        <f aca="false">屬性設定!R3*INDEX(對照表!$E$2:$E$6,MATCH(屬性設定!N3,對照表!$D$2:$D$6,0))*INDEX(對照表!$E$2:$E$6,MATCH(屬性設定!O3,對照表!$D$2:$D$6,0))*INDEX(對照表!$B$2:$B$6,MATCH(屬性設定!P3,對照表!$A$2:$A$6,0))*(1-0.01*屬性設定!Q3)*(1+屬性設定!V3)*(1+屬性設定!W3)*(1+屬性設定!X3)</f>
        <v>1.12872461625</v>
      </c>
      <c r="AH6" s="8" t="n">
        <f aca="false">1.2-(屬性設定!C3/100)*0.4</f>
        <v>0.98</v>
      </c>
      <c r="AI6" s="8" t="n">
        <f aca="false">12*$B$1*$AH6*INDEX(對照表!$C$17:$C$20,MATCH(屬性設定!M3,對照表!$A$17:$A$20,0))*屬性設定!Y3*$B$2</f>
        <v>14.8176</v>
      </c>
      <c r="AJ6" s="8" t="n">
        <f aca="false">100-AI6</f>
        <v>85.1824</v>
      </c>
      <c r="AK6" s="8" t="n">
        <f aca="false">24*$B$1*$AH6*INDEX(對照表!$D$17:$D$20,MATCH(屬性設定!M3,對照表!$A$17:$A$20,0))*屬性設定!Y3*$B$2</f>
        <v>24.696</v>
      </c>
      <c r="AL6" s="8" t="n">
        <f aca="false">AJ6-AK6</f>
        <v>60.4864</v>
      </c>
      <c r="AM6" s="8" t="n">
        <f aca="false">27*$B$1*$AH6*INDEX(對照表!$E$17:$E$20,MATCH(屬性設定!M3,對照表!$A$17:$A$20,0))*屬性設定!Y3*$B$2</f>
        <v>25.0047</v>
      </c>
      <c r="AN6" s="8" t="n">
        <f aca="false">AL6-AM6</f>
        <v>35.4817</v>
      </c>
    </row>
    <row r="7" customFormat="false" ht="15" hidden="false" customHeight="true" outlineLevel="0" collapsed="false">
      <c r="A7" s="8" t="str">
        <f aca="false">屬性設定!A4</f>
        <v>耐力追込馬</v>
      </c>
      <c r="B7" s="8" t="n">
        <f aca="false">屬性設定!D4*0.3+屬性設定!H4*0.5+屬性設定!K4*0.2</f>
        <v>58</v>
      </c>
      <c r="C7" s="8" t="n">
        <f aca="false">B7*$AG7*INDEX(對照表!$B$10:$B$13,MATCH(屬性設定!M4,對照表!$A$10:$A$13,0))</f>
        <v>58.615124568</v>
      </c>
      <c r="D7" s="8" t="n">
        <f aca="false">AVERAGE(C$5:C$12)</f>
        <v>75.4410404550366</v>
      </c>
      <c r="E7" s="8" t="n">
        <f aca="false">(C7-D7)/D7</f>
        <v>-0.223033985023907</v>
      </c>
      <c r="F7" s="8" t="n">
        <f aca="false">AVERAGE(E7)</f>
        <v>-0.223033985023907</v>
      </c>
      <c r="G7" s="8" t="n">
        <f aca="false">屬性設定!B4*0.65+(屬性設定!S4*0.6+屬性設定!T4*0.4)*0.35</f>
        <v>65.67</v>
      </c>
      <c r="H7" s="8" t="n">
        <f aca="false">G7*$AG7*INDEX(對照表!$C$10:$C$13,MATCH(屬性設定!M4,對照表!$A$10:$A$13,0))</f>
        <v>70.27037945928</v>
      </c>
      <c r="I7" s="8" t="n">
        <f aca="false">AVERAGE(H$5:H$12)</f>
        <v>88.6862377168945</v>
      </c>
      <c r="J7" s="8" t="n">
        <f aca="false">(H7-I7)/I7</f>
        <v>-0.207651815340299</v>
      </c>
      <c r="K7" s="8" t="n">
        <f aca="false">AVERAGE(E7,J7)</f>
        <v>-0.215342900182103</v>
      </c>
      <c r="L7" s="8" t="n">
        <f aca="false">屬性設定!B4*0.3+屬性設定!C4*0.3+(屬性設定!T4*0.5+屬性設定!U4*0.5)*0.4</f>
        <v>76</v>
      </c>
      <c r="M7" s="8" t="n">
        <f aca="false">L7*$AG7*INDEX(對照表!$D$10:$D$13,MATCH(屬性設定!M4,對照表!$A$10:$A$13,0))</f>
        <v>90.36002976</v>
      </c>
      <c r="N7" s="8" t="n">
        <f aca="false">AVERAGE(M$5:M$12)</f>
        <v>86.3313397354556</v>
      </c>
      <c r="O7" s="8" t="n">
        <f aca="false">(M7-N7)/N7</f>
        <v>0.0466654408108278</v>
      </c>
      <c r="P7" s="8" t="n">
        <f aca="false">AVERAGE(E7,J7,O7)</f>
        <v>-0.128006786517793</v>
      </c>
      <c r="Q7" s="8" t="n">
        <f aca="false">屬性設定!C4*0.5+屬性設定!F4*0.2+AN7*0.3</f>
        <v>75.427924</v>
      </c>
      <c r="R7" s="8" t="n">
        <f aca="false">Q7*$AG7*INDEX(對照表!$E$10:$E$13,MATCH(屬性設定!M4,對照表!$A$10:$A$13,0))</f>
        <v>98.6478474093753</v>
      </c>
      <c r="S7" s="8" t="n">
        <f aca="false">AVERAGE(R$5:R$12)</f>
        <v>70.3905033911856</v>
      </c>
      <c r="T7" s="8" t="n">
        <f aca="false">(R7-S7)/S7</f>
        <v>0.40143687936359</v>
      </c>
      <c r="U7" s="8" t="n">
        <f aca="false">AVERAGE(E7,J7,O7,T7)</f>
        <v>0.00435412995255291</v>
      </c>
      <c r="V7" s="8" t="n">
        <f aca="false">屬性設定!E4*0.2+屬性設定!G4*0.4+屬性設定!I4*0.4</f>
        <v>63</v>
      </c>
      <c r="W7" s="8" t="n">
        <f aca="false">V7*$AG7*INDEX(對照表!$F$10:$F$13,MATCH(屬性設定!M4,對照表!$A$10:$A$13,0))</f>
        <v>74.90370888</v>
      </c>
      <c r="X7" s="8" t="n">
        <f aca="false">AVERAGE(W$5:W$12)</f>
        <v>78.7045091977575</v>
      </c>
      <c r="Y7" s="8" t="n">
        <f aca="false">(W7-X7)/X7</f>
        <v>-0.048292027439081</v>
      </c>
      <c r="Z7" s="8" t="n">
        <f aca="false">AVERAGE(E7,J7,O7,T7,Y7)</f>
        <v>-0.00617510152577387</v>
      </c>
      <c r="AA7" s="8" t="n">
        <f aca="false">屬性設定!B4*0.4+屬性設定!D4*0.4+屬性設定!F4*0.2</f>
        <v>62.4</v>
      </c>
      <c r="AB7" s="8" t="n">
        <f aca="false">AA7*$AG7*INDEX(對照表!$G$10:$G$13,MATCH(屬性設定!M4,對照表!$A$10:$A$13,0))</f>
        <v>85.3188912576</v>
      </c>
      <c r="AC7" s="8" t="n">
        <f aca="false">AVERAGE(AB$5:AB$12)</f>
        <v>78.2673624450495</v>
      </c>
      <c r="AD7" s="8" t="n">
        <f aca="false">(AB7-AC7)/AC7</f>
        <v>0.0900953934342846</v>
      </c>
      <c r="AE7" s="8" t="n">
        <f aca="false">AVERAGE(E7,J7,O7,T7,Y7,AD7)</f>
        <v>0.00986998096756921</v>
      </c>
      <c r="AF7" s="8" t="n">
        <f aca="false">RANK(AE7,AE$5:AE$12,0)</f>
        <v>5</v>
      </c>
      <c r="AG7" s="8" t="n">
        <f aca="false">屬性設定!R4*INDEX(對照表!$E$2:$E$6,MATCH(屬性設定!N4,對照表!$D$2:$D$6,0))*INDEX(對照表!$E$2:$E$6,MATCH(屬性設定!O4,對照表!$D$2:$D$6,0))*INDEX(對照表!$B$2:$B$6,MATCH(屬性設定!P4,對照表!$A$2:$A$6,0))*(1-0.01*屬性設定!Q4)*(1+屬性設定!V4)*(1+屬性設定!W4)*(1+屬性設定!X4)</f>
        <v>1.18894776</v>
      </c>
      <c r="AH7" s="8" t="n">
        <f aca="false">1.2-(屬性設定!C4/100)*0.4</f>
        <v>0.848</v>
      </c>
      <c r="AI7" s="8" t="n">
        <f aca="false">12*$B$1*$AH7*INDEX(對照表!$C$17:$C$20,MATCH(屬性設定!M4,對照表!$A$17:$A$20,0))*屬性設定!Y4*$B$2</f>
        <v>8.70048</v>
      </c>
      <c r="AJ7" s="8" t="n">
        <f aca="false">100-AI7</f>
        <v>91.29952</v>
      </c>
      <c r="AK7" s="8" t="n">
        <f aca="false">24*$B$1*$AH7*INDEX(對照表!$D$17:$D$20,MATCH(屬性設定!M4,對照表!$A$17:$A$20,0))*屬性設定!Y4*$B$2</f>
        <v>18.36768</v>
      </c>
      <c r="AL7" s="8" t="n">
        <f aca="false">AJ7-AK7</f>
        <v>72.93184</v>
      </c>
      <c r="AM7" s="8" t="n">
        <f aca="false">27*$B$1*$AH7*INDEX(對照表!$E$17:$E$20,MATCH(屬性設定!M4,對照表!$A$17:$A$20,0))*屬性設定!Y4*$B$2</f>
        <v>22.83876</v>
      </c>
      <c r="AN7" s="8" t="n">
        <f aca="false">AL7-AM7</f>
        <v>50.09308</v>
      </c>
    </row>
    <row r="8" customFormat="false" ht="15" hidden="false" customHeight="true" outlineLevel="0" collapsed="false">
      <c r="A8" s="8" t="str">
        <f aca="false">屬性設定!A5</f>
        <v>平衡中庸馬</v>
      </c>
      <c r="B8" s="8" t="n">
        <f aca="false">屬性設定!D5*0.3+屬性設定!H5*0.5+屬性設定!K5*0.2</f>
        <v>65</v>
      </c>
      <c r="C8" s="8" t="n">
        <f aca="false">B8*$AG8*INDEX(對照表!$B$10:$B$13,MATCH(屬性設定!M5,對照表!$A$10:$A$13,0))</f>
        <v>57.915</v>
      </c>
      <c r="D8" s="8" t="n">
        <f aca="false">AVERAGE(C$5:C$12)</f>
        <v>75.4410404550366</v>
      </c>
      <c r="E8" s="8" t="n">
        <f aca="false">(C8-D8)/D8</f>
        <v>-0.232314405386313</v>
      </c>
      <c r="F8" s="8" t="n">
        <f aca="false">AVERAGE(E8)</f>
        <v>-0.232314405386313</v>
      </c>
      <c r="G8" s="8" t="n">
        <f aca="false">屬性設定!B5*0.65+(屬性設定!S5*0.6+屬性設定!T5*0.4)*0.35</f>
        <v>65</v>
      </c>
      <c r="H8" s="8" t="n">
        <f aca="false">G8*$AG8*INDEX(對照表!$C$10:$C$13,MATCH(屬性設定!M5,對照表!$A$10:$A$13,0))</f>
        <v>67.5675</v>
      </c>
      <c r="I8" s="8" t="n">
        <f aca="false">AVERAGE(H$5:H$12)</f>
        <v>88.6862377168945</v>
      </c>
      <c r="J8" s="8" t="n">
        <f aca="false">(H8-I8)/I8</f>
        <v>-0.238128691221631</v>
      </c>
      <c r="K8" s="8" t="n">
        <f aca="false">AVERAGE(E8,J8)</f>
        <v>-0.235221548303972</v>
      </c>
      <c r="L8" s="8" t="n">
        <f aca="false">屬性設定!B5*0.3+屬性設定!C5*0.3+(屬性設定!T5*0.5+屬性設定!U5*0.5)*0.4</f>
        <v>65</v>
      </c>
      <c r="M8" s="8" t="n">
        <f aca="false">L8*$AG8*INDEX(對照表!$D$10:$D$13,MATCH(屬性設定!M5,對照表!$A$10:$A$13,0))</f>
        <v>70.785</v>
      </c>
      <c r="N8" s="8" t="n">
        <f aca="false">AVERAGE(M$5:M$12)</f>
        <v>86.3313397354556</v>
      </c>
      <c r="O8" s="8" t="n">
        <f aca="false">(M8-N8)/N8</f>
        <v>-0.180077591557065</v>
      </c>
      <c r="P8" s="8" t="n">
        <f aca="false">AVERAGE(E8,J8,O8)</f>
        <v>-0.216840229388336</v>
      </c>
      <c r="Q8" s="8" t="n">
        <f aca="false">屬性設定!C5*0.5+屬性設定!F5*0.2+AN8*0.3</f>
        <v>57.2264</v>
      </c>
      <c r="R8" s="8" t="n">
        <f aca="false">Q8*$AG8*INDEX(對照表!$E$10:$E$13,MATCH(屬性設定!M5,對照表!$A$10:$A$13,0))</f>
        <v>56.654136</v>
      </c>
      <c r="S8" s="8" t="n">
        <f aca="false">AVERAGE(R$5:R$12)</f>
        <v>70.3905033911856</v>
      </c>
      <c r="T8" s="8" t="n">
        <f aca="false">(R8-S8)/S8</f>
        <v>-0.195145179099623</v>
      </c>
      <c r="U8" s="8" t="n">
        <f aca="false">AVERAGE(E8,J8,O8,T8)</f>
        <v>-0.211416466816158</v>
      </c>
      <c r="V8" s="8" t="n">
        <f aca="false">屬性設定!E5*0.2+屬性設定!G5*0.4+屬性設定!I5*0.4</f>
        <v>65</v>
      </c>
      <c r="W8" s="8" t="n">
        <f aca="false">V8*$AG8*INDEX(對照表!$F$10:$F$13,MATCH(屬性設定!M5,對照表!$A$10:$A$13,0))</f>
        <v>64.35</v>
      </c>
      <c r="X8" s="8" t="n">
        <f aca="false">AVERAGE(W$5:W$12)</f>
        <v>78.7045091977575</v>
      </c>
      <c r="Y8" s="8" t="n">
        <f aca="false">(W8-X8)/X8</f>
        <v>-0.182384838480976</v>
      </c>
      <c r="Z8" s="8" t="n">
        <f aca="false">AVERAGE(E8,J8,O8,T8,Y8)</f>
        <v>-0.205610141149122</v>
      </c>
      <c r="AA8" s="8" t="n">
        <f aca="false">屬性設定!B5*0.4+屬性設定!D5*0.4+屬性設定!F5*0.2</f>
        <v>65</v>
      </c>
      <c r="AB8" s="8" t="n">
        <f aca="false">AA8*$AG8*INDEX(對照表!$G$10:$G$13,MATCH(屬性設定!M5,對照表!$A$10:$A$13,0))</f>
        <v>57.915</v>
      </c>
      <c r="AC8" s="8" t="n">
        <f aca="false">AVERAGE(AB$5:AB$12)</f>
        <v>78.2673624450495</v>
      </c>
      <c r="AD8" s="8" t="n">
        <f aca="false">(AB8-AC8)/AC8</f>
        <v>-0.260036390766824</v>
      </c>
      <c r="AE8" s="8" t="n">
        <f aca="false">AVERAGE(E8,J8,O8,T8,Y8,AD8)</f>
        <v>-0.214681182752072</v>
      </c>
      <c r="AF8" s="8" t="n">
        <f aca="false">RANK(AE8,AE$5:AE$12,0)</f>
        <v>7</v>
      </c>
      <c r="AG8" s="8" t="n">
        <f aca="false">屬性設定!R5*INDEX(對照表!$E$2:$E$6,MATCH(屬性設定!N5,對照表!$D$2:$D$6,0))*INDEX(對照表!$E$2:$E$6,MATCH(屬性設定!O5,對照表!$D$2:$D$6,0))*INDEX(對照表!$B$2:$B$6,MATCH(屬性設定!P5,對照表!$A$2:$A$6,0))*(1-0.01*屬性設定!Q5)*(1+屬性設定!V5)*(1+屬性設定!W5)*(1+屬性設定!X5)</f>
        <v>0.99</v>
      </c>
      <c r="AH8" s="8" t="n">
        <f aca="false">1.2-(屬性設定!C5/100)*0.4</f>
        <v>0.94</v>
      </c>
      <c r="AI8" s="8" t="n">
        <f aca="false">12*$B$1*$AH8*INDEX(對照表!$C$17:$C$20,MATCH(屬性設定!M5,對照表!$A$17:$A$20,0))*屬性設定!Y5*$B$2</f>
        <v>11.844</v>
      </c>
      <c r="AJ8" s="8" t="n">
        <f aca="false">100-AI8</f>
        <v>88.156</v>
      </c>
      <c r="AK8" s="8" t="n">
        <f aca="false">24*$B$1*$AH8*INDEX(對照表!$D$17:$D$20,MATCH(屬性設定!M5,對照表!$A$17:$A$20,0))*屬性設定!Y5*$B$2</f>
        <v>23.688</v>
      </c>
      <c r="AL8" s="8" t="n">
        <f aca="false">AJ8-AK8</f>
        <v>64.468</v>
      </c>
      <c r="AM8" s="8" t="n">
        <f aca="false">27*$B$1*$AH8*INDEX(對照表!$E$17:$E$20,MATCH(屬性設定!M5,對照表!$A$17:$A$20,0))*屬性設定!Y5*$B$2</f>
        <v>25.38</v>
      </c>
      <c r="AN8" s="8" t="n">
        <f aca="false">AL8-AM8</f>
        <v>39.088</v>
      </c>
    </row>
    <row r="9" customFormat="false" ht="15" hidden="false" customHeight="true" outlineLevel="0" collapsed="false">
      <c r="A9" s="8" t="str">
        <f aca="false">屬性設定!A6</f>
        <v>潛力新星</v>
      </c>
      <c r="B9" s="8" t="n">
        <f aca="false">屬性設定!D6*0.3+屬性設定!H6*0.5+屬性設定!K6*0.2</f>
        <v>44.6</v>
      </c>
      <c r="C9" s="8" t="n">
        <f aca="false">B9*$AG9*INDEX(對照表!$B$10:$B$13,MATCH(屬性設定!M6,對照表!$A$10:$A$13,0))</f>
        <v>33.56839371942</v>
      </c>
      <c r="D9" s="8" t="n">
        <f aca="false">AVERAGE(C$5:C$12)</f>
        <v>75.4410404550366</v>
      </c>
      <c r="E9" s="8" t="n">
        <f aca="false">(C9-D9)/D9</f>
        <v>-0.555038033450413</v>
      </c>
      <c r="F9" s="8" t="n">
        <f aca="false">AVERAGE(E9)</f>
        <v>-0.555038033450413</v>
      </c>
      <c r="G9" s="8" t="n">
        <f aca="false">屬性設定!B6*0.65+(屬性設定!S6*0.6+屬性設定!T6*0.4)*0.35</f>
        <v>48.5</v>
      </c>
      <c r="H9" s="8" t="n">
        <f aca="false">G9*$AG9*INDEX(對照表!$C$10:$C$13,MATCH(屬性設定!M6,對照表!$A$10:$A$13,0))</f>
        <v>40.5597183705</v>
      </c>
      <c r="I9" s="8" t="n">
        <f aca="false">AVERAGE(H$5:H$12)</f>
        <v>88.6862377168945</v>
      </c>
      <c r="J9" s="8" t="n">
        <f aca="false">(H9-I9)/I9</f>
        <v>-0.542660514025013</v>
      </c>
      <c r="K9" s="8" t="n">
        <f aca="false">AVERAGE(E9,J9)</f>
        <v>-0.548849273737713</v>
      </c>
      <c r="L9" s="8" t="n">
        <f aca="false">屬性設定!B6*0.3+屬性設定!C6*0.3+(屬性設定!T6*0.5+屬性設定!U6*0.5)*0.4</f>
        <v>48.1</v>
      </c>
      <c r="M9" s="8" t="n">
        <f aca="false">L9*$AG9*INDEX(對照表!$D$10:$D$13,MATCH(屬性設定!M6,對照表!$A$10:$A$13,0))</f>
        <v>44.24772575223</v>
      </c>
      <c r="N9" s="8" t="n">
        <f aca="false">AVERAGE(M$5:M$12)</f>
        <v>86.3313397354556</v>
      </c>
      <c r="O9" s="8" t="n">
        <f aca="false">(M9-N9)/N9</f>
        <v>-0.487466244728532</v>
      </c>
      <c r="P9" s="8" t="n">
        <f aca="false">AVERAGE(E9,J9,O9)</f>
        <v>-0.528388264067986</v>
      </c>
      <c r="Q9" s="8" t="n">
        <f aca="false">屬性設定!C6*0.5+屬性設定!F6*0.2+AN9*0.3</f>
        <v>40.063</v>
      </c>
      <c r="R9" s="8" t="n">
        <f aca="false">Q9*$AG9*INDEX(對照表!$E$10:$E$13,MATCH(屬性設定!M6,對照表!$A$10:$A$13,0))</f>
        <v>35.179199936726</v>
      </c>
      <c r="S9" s="8" t="n">
        <f aca="false">AVERAGE(R$5:R$12)</f>
        <v>70.3905033911856</v>
      </c>
      <c r="T9" s="8" t="n">
        <f aca="false">(R9-S9)/S9</f>
        <v>-0.500228038699732</v>
      </c>
      <c r="U9" s="8" t="n">
        <f aca="false">AVERAGE(E9,J9,O9,T9)</f>
        <v>-0.521348207725923</v>
      </c>
      <c r="V9" s="8" t="n">
        <f aca="false">屬性設定!E6*0.2+屬性設定!G6*0.4+屬性設定!I6*0.4</f>
        <v>44</v>
      </c>
      <c r="W9" s="8" t="n">
        <f aca="false">V9*$AG9*INDEX(對照表!$F$10:$F$13,MATCH(屬性設定!M6,對照表!$A$10:$A$13,0))</f>
        <v>36.796445532</v>
      </c>
      <c r="X9" s="8" t="n">
        <f aca="false">AVERAGE(W$5:W$12)</f>
        <v>78.7045091977575</v>
      </c>
      <c r="Y9" s="8" t="n">
        <f aca="false">(W9-X9)/X9</f>
        <v>-0.53247347697013</v>
      </c>
      <c r="Z9" s="8" t="n">
        <f aca="false">AVERAGE(E9,J9,O9,T9,Y9)</f>
        <v>-0.523573261574764</v>
      </c>
      <c r="AA9" s="8" t="n">
        <f aca="false">屬性設定!B6*0.4+屬性設定!D6*0.4+屬性設定!F6*0.2</f>
        <v>46</v>
      </c>
      <c r="AB9" s="8" t="n">
        <f aca="false">AA9*$AG9*INDEX(對照表!$G$10:$G$13,MATCH(屬性設定!M6,對照表!$A$10:$A$13,0))</f>
        <v>34.6221101142</v>
      </c>
      <c r="AC9" s="8" t="n">
        <f aca="false">AVERAGE(AB$5:AB$12)</f>
        <v>78.2673624450495</v>
      </c>
      <c r="AD9" s="8" t="n">
        <f aca="false">(AB9-AC9)/AC9</f>
        <v>-0.557643070717916</v>
      </c>
      <c r="AE9" s="8" t="n">
        <f aca="false">AVERAGE(E9,J9,O9,T9,Y9,AD9)</f>
        <v>-0.529251563098623</v>
      </c>
      <c r="AF9" s="8" t="n">
        <f aca="false">RANK(AE9,AE$5:AE$12,0)</f>
        <v>8</v>
      </c>
      <c r="AG9" s="8" t="n">
        <f aca="false">屬性設定!R6*INDEX(對照表!$E$2:$E$6,MATCH(屬性設定!N6,對照表!$D$2:$D$6,0))*INDEX(對照表!$E$2:$E$6,MATCH(屬性設定!O6,對照表!$D$2:$D$6,0))*INDEX(對照表!$B$2:$B$6,MATCH(屬性設定!P6,對照表!$A$2:$A$6,0))*(1-0.01*屬性設定!Q6)*(1+屬性設定!V6)*(1+屬性設定!W6)*(1+屬性設定!X6)</f>
        <v>0.836282853</v>
      </c>
      <c r="AH9" s="8" t="n">
        <f aca="false">1.2-(屬性設定!C6/100)*0.4</f>
        <v>1.032</v>
      </c>
      <c r="AI9" s="8" t="n">
        <f aca="false">12*$B$1*$AH9*INDEX(對照表!$C$17:$C$20,MATCH(屬性設定!M6,對照表!$A$17:$A$20,0))*屬性設定!Y6*$B$2</f>
        <v>11.7648</v>
      </c>
      <c r="AJ9" s="8" t="n">
        <f aca="false">100-AI9</f>
        <v>88.2352</v>
      </c>
      <c r="AK9" s="8" t="n">
        <f aca="false">24*$B$1*$AH9*INDEX(對照表!$D$17:$D$20,MATCH(屬性設定!M6,對照表!$A$17:$A$20,0))*屬性設定!Y6*$B$2</f>
        <v>24.768</v>
      </c>
      <c r="AL9" s="8" t="n">
        <f aca="false">AJ9-AK9</f>
        <v>63.4672</v>
      </c>
      <c r="AM9" s="8" t="n">
        <f aca="false">27*$B$1*$AH9*INDEX(對照表!$E$17:$E$20,MATCH(屬性設定!M6,對照表!$A$17:$A$20,0))*屬性設定!Y6*$B$2</f>
        <v>29.2572</v>
      </c>
      <c r="AN9" s="8" t="n">
        <f aca="false">AL9-AM9</f>
        <v>34.21</v>
      </c>
    </row>
    <row r="10" customFormat="false" ht="15" hidden="false" customHeight="true" outlineLevel="0" collapsed="false">
      <c r="A10" s="8" t="str">
        <f aca="false">屬性設定!A7</f>
        <v>老將經驗馬</v>
      </c>
      <c r="B10" s="8" t="n">
        <f aca="false">屬性設定!D7*0.3+屬性設定!H7*0.5+屬性設定!K7*0.2</f>
        <v>71.6</v>
      </c>
      <c r="C10" s="8" t="n">
        <f aca="false">B10*$AG10*INDEX(對照表!$B$10:$B$13,MATCH(屬性設定!M7,對照表!$A$10:$A$13,0))</f>
        <v>78.19426692</v>
      </c>
      <c r="D10" s="8" t="n">
        <f aca="false">AVERAGE(C$5:C$12)</f>
        <v>75.4410404550366</v>
      </c>
      <c r="E10" s="8" t="n">
        <f aca="false">(C10-D10)/D10</f>
        <v>0.036495075470286</v>
      </c>
      <c r="F10" s="8" t="n">
        <f aca="false">AVERAGE(E10)</f>
        <v>0.036495075470286</v>
      </c>
      <c r="G10" s="8" t="n">
        <f aca="false">屬性設定!B7*0.65+(屬性設定!S7*0.6+屬性設定!T7*0.4)*0.35</f>
        <v>74.58</v>
      </c>
      <c r="H10" s="8" t="n">
        <f aca="false">G10*$AG10*INDEX(對照表!$C$10:$C$13,MATCH(屬性設定!M7,對照表!$A$10:$A$13,0))</f>
        <v>95.023507887</v>
      </c>
      <c r="I10" s="8" t="n">
        <f aca="false">AVERAGE(H$5:H$12)</f>
        <v>88.6862377168945</v>
      </c>
      <c r="J10" s="8" t="n">
        <f aca="false">(H10-I10)/I10</f>
        <v>0.0714571993721899</v>
      </c>
      <c r="K10" s="8" t="n">
        <f aca="false">AVERAGE(E10,J10)</f>
        <v>0.053976137421238</v>
      </c>
      <c r="L10" s="8" t="n">
        <f aca="false">屬性設定!B7*0.3+屬性設定!C7*0.3+(屬性設定!T7*0.5+屬性設定!U7*0.5)*0.4</f>
        <v>76</v>
      </c>
      <c r="M10" s="8" t="n">
        <f aca="false">L10*$AG10*INDEX(對照表!$D$10:$D$13,MATCH(屬性設定!M7,對照表!$A$10:$A$13,0))</f>
        <v>101.4438348</v>
      </c>
      <c r="N10" s="8" t="n">
        <f aca="false">AVERAGE(M$5:M$12)</f>
        <v>86.3313397354556</v>
      </c>
      <c r="O10" s="8" t="n">
        <f aca="false">(M10-N10)/N10</f>
        <v>0.175052247664099</v>
      </c>
      <c r="P10" s="8" t="n">
        <f aca="false">AVERAGE(E10,J10,O10)</f>
        <v>0.0943348408355249</v>
      </c>
      <c r="Q10" s="8" t="n">
        <f aca="false">屬性設定!C7*0.5+屬性設定!F7*0.2+AN10*0.3</f>
        <v>63.30368</v>
      </c>
      <c r="R10" s="8" t="n">
        <f aca="false">Q10*$AG10*INDEX(對照表!$E$10:$E$13,MATCH(屬性設定!M7,對照表!$A$10:$A$13,0))</f>
        <v>76.81540737024</v>
      </c>
      <c r="S10" s="8" t="n">
        <f aca="false">AVERAGE(R$5:R$12)</f>
        <v>70.3905033911856</v>
      </c>
      <c r="T10" s="8" t="n">
        <f aca="false">(R10-S10)/S10</f>
        <v>0.0912751531744129</v>
      </c>
      <c r="U10" s="8" t="n">
        <f aca="false">AVERAGE(E10,J10,O10,T10)</f>
        <v>0.0935699189202469</v>
      </c>
      <c r="V10" s="8" t="n">
        <f aca="false">屬性設定!E7*0.2+屬性設定!G7*0.4+屬性設定!I7*0.4</f>
        <v>76</v>
      </c>
      <c r="W10" s="8" t="n">
        <f aca="false">V10*$AG10*INDEX(對照表!$F$10:$F$13,MATCH(屬性設定!M7,對照表!$A$10:$A$13,0))</f>
        <v>92.221668</v>
      </c>
      <c r="X10" s="8" t="n">
        <f aca="false">AVERAGE(W$5:W$12)</f>
        <v>78.7045091977575</v>
      </c>
      <c r="Y10" s="8" t="n">
        <f aca="false">(W10-X10)/X10</f>
        <v>0.171745671754061</v>
      </c>
      <c r="Z10" s="8" t="n">
        <f aca="false">AVERAGE(E10,J10,O10,T10,Y10)</f>
        <v>0.10920506948701</v>
      </c>
      <c r="AA10" s="8" t="n">
        <f aca="false">屬性設定!B7*0.4+屬性設定!D7*0.4+屬性設定!F7*0.2</f>
        <v>66.4</v>
      </c>
      <c r="AB10" s="8" t="n">
        <f aca="false">AA10*$AG10*INDEX(對照表!$G$10:$G$13,MATCH(屬性設定!M7,對照表!$A$10:$A$13,0))</f>
        <v>72.5153536800001</v>
      </c>
      <c r="AC10" s="8" t="n">
        <f aca="false">AVERAGE(AB$5:AB$12)</f>
        <v>78.2673624450495</v>
      </c>
      <c r="AD10" s="8" t="n">
        <f aca="false">(AB10-AC10)/AC10</f>
        <v>-0.0734917925602498</v>
      </c>
      <c r="AE10" s="8" t="n">
        <f aca="false">AVERAGE(E10,J10,O10,T10,Y10,AD10)</f>
        <v>0.0787555924791331</v>
      </c>
      <c r="AF10" s="8" t="n">
        <f aca="false">RANK(AE10,AE$5:AE$12,0)</f>
        <v>3</v>
      </c>
      <c r="AG10" s="8" t="n">
        <f aca="false">屬性設定!R7*INDEX(對照表!$E$2:$E$6,MATCH(屬性設定!N7,對照表!$D$2:$D$6,0))*INDEX(對照表!$E$2:$E$6,MATCH(屬性設定!O7,對照表!$D$2:$D$6,0))*INDEX(對照表!$B$2:$B$6,MATCH(屬性設定!P7,對照表!$A$2:$A$6,0))*(1-0.01*屬性設定!Q7)*(1+屬性設定!V7)*(1+屬性設定!W7)*(1+屬性設定!X7)</f>
        <v>1.213443</v>
      </c>
      <c r="AH10" s="8" t="n">
        <f aca="false">1.2-(屬性設定!C7/100)*0.4</f>
        <v>0.92</v>
      </c>
      <c r="AI10" s="8" t="n">
        <f aca="false">12*$B$1*$AH10*INDEX(對照表!$C$17:$C$20,MATCH(屬性設定!M7,對照表!$A$17:$A$20,0))*屬性設定!Y7*$B$2</f>
        <v>10.4328</v>
      </c>
      <c r="AJ10" s="8" t="n">
        <f aca="false">100-AI10</f>
        <v>89.5672</v>
      </c>
      <c r="AK10" s="8" t="n">
        <f aca="false">24*$B$1*$AH10*INDEX(對照表!$D$17:$D$20,MATCH(屬性設定!M7,對照表!$A$17:$A$20,0))*屬性設定!Y7*$B$2</f>
        <v>20.8656</v>
      </c>
      <c r="AL10" s="8" t="n">
        <f aca="false">AJ10-AK10</f>
        <v>68.7016</v>
      </c>
      <c r="AM10" s="8" t="n">
        <f aca="false">27*$B$1*$AH10*INDEX(對照表!$E$17:$E$20,MATCH(屬性設定!M7,對照表!$A$17:$A$20,0))*屬性設定!Y7*$B$2</f>
        <v>22.356</v>
      </c>
      <c r="AN10" s="8" t="n">
        <f aca="false">AL10-AM10</f>
        <v>46.3456</v>
      </c>
    </row>
    <row r="11" customFormat="false" ht="15" hidden="false" customHeight="true" outlineLevel="0" collapsed="false">
      <c r="A11" s="8" t="str">
        <f aca="false">屬性設定!A8</f>
        <v>彎道巧手馬</v>
      </c>
      <c r="B11" s="8" t="n">
        <f aca="false">屬性設定!D8*0.3+屬性設定!H8*0.5+屬性設定!K8*0.2</f>
        <v>62.6</v>
      </c>
      <c r="C11" s="8" t="n">
        <f aca="false">B11*$AG11*INDEX(對照表!$B$10:$B$13,MATCH(屬性設定!M8,對照表!$A$10:$A$13,0))</f>
        <v>74.27682742896</v>
      </c>
      <c r="D11" s="8" t="n">
        <f aca="false">AVERAGE(C$5:C$12)</f>
        <v>75.4410404550366</v>
      </c>
      <c r="E11" s="8" t="n">
        <f aca="false">(C11-D11)/D11</f>
        <v>-0.0154320913266095</v>
      </c>
      <c r="F11" s="8" t="n">
        <f aca="false">AVERAGE(E11)</f>
        <v>-0.0154320913266095</v>
      </c>
      <c r="G11" s="8" t="n">
        <f aca="false">屬性設定!B8*0.65+(屬性設定!S8*0.6+屬性設定!T8*0.4)*0.35</f>
        <v>67.82</v>
      </c>
      <c r="H11" s="8" t="n">
        <f aca="false">G11*$AG11*INDEX(對照表!$C$10:$C$13,MATCH(屬性設定!M8,對照表!$A$10:$A$13,0))</f>
        <v>93.882271175784</v>
      </c>
      <c r="I11" s="8" t="n">
        <f aca="false">AVERAGE(H$5:H$12)</f>
        <v>88.6862377168945</v>
      </c>
      <c r="J11" s="8" t="n">
        <f aca="false">(H11-I11)/I11</f>
        <v>0.0585889490032981</v>
      </c>
      <c r="K11" s="8" t="n">
        <f aca="false">AVERAGE(E11,J11)</f>
        <v>0.0215784288383443</v>
      </c>
      <c r="L11" s="8" t="n">
        <f aca="false">屬性設定!B8*0.3+屬性設定!C8*0.3+(屬性設定!T8*0.5+屬性設定!U8*0.5)*0.4</f>
        <v>65.6</v>
      </c>
      <c r="M11" s="8" t="n">
        <f aca="false">L11*$AG11*INDEX(對照表!$D$10:$D$13,MATCH(屬性設定!M8,對照表!$A$10:$A$13,0))</f>
        <v>95.13340197504</v>
      </c>
      <c r="N11" s="8" t="n">
        <f aca="false">AVERAGE(M$5:M$12)</f>
        <v>86.3313397354556</v>
      </c>
      <c r="O11" s="8" t="n">
        <f aca="false">(M11-N11)/N11</f>
        <v>0.101956743247081</v>
      </c>
      <c r="P11" s="8" t="n">
        <f aca="false">AVERAGE(E11,J11,O11)</f>
        <v>0.0483712003079231</v>
      </c>
      <c r="Q11" s="8" t="n">
        <f aca="false">屬性設定!C8*0.5+屬性設定!F8*0.2+AN11*0.3</f>
        <v>54.49312</v>
      </c>
      <c r="R11" s="8" t="n">
        <f aca="false">Q11*$AG11*INDEX(對照表!$E$10:$E$13,MATCH(屬性設定!M8,對照表!$A$10:$A$13,0))</f>
        <v>71.8419607792973</v>
      </c>
      <c r="S11" s="8" t="n">
        <f aca="false">AVERAGE(R$5:R$12)</f>
        <v>70.3905033911856</v>
      </c>
      <c r="T11" s="8" t="n">
        <f aca="false">(R11-S11)/S11</f>
        <v>0.0206200739898884</v>
      </c>
      <c r="U11" s="8" t="n">
        <f aca="false">AVERAGE(E11,J11,O11,T11)</f>
        <v>0.0414334187284145</v>
      </c>
      <c r="V11" s="8" t="n">
        <f aca="false">屬性設定!E8*0.2+屬性設定!G8*0.4+屬性設定!I8*0.4</f>
        <v>81</v>
      </c>
      <c r="W11" s="8" t="n">
        <f aca="false">V11*$AG11*INDEX(對照表!$F$10:$F$13,MATCH(屬性設定!M8,對照表!$A$10:$A$13,0))</f>
        <v>106.787771064</v>
      </c>
      <c r="X11" s="8" t="n">
        <f aca="false">AVERAGE(W$5:W$12)</f>
        <v>78.7045091977575</v>
      </c>
      <c r="Y11" s="8" t="n">
        <f aca="false">(W11-X11)/X11</f>
        <v>0.356818969491047</v>
      </c>
      <c r="Z11" s="8" t="n">
        <f aca="false">AVERAGE(E11,J11,O11,T11,Y11)</f>
        <v>0.104510528880941</v>
      </c>
      <c r="AA11" s="8" t="n">
        <f aca="false">屬性設定!B8*0.4+屬性設定!D8*0.4+屬性設定!F8*0.2</f>
        <v>64</v>
      </c>
      <c r="AB11" s="8" t="n">
        <f aca="false">AA11*$AG11*INDEX(對照表!$G$10:$G$13,MATCH(屬性設定!M8,對照表!$A$10:$A$13,0))</f>
        <v>75.9379705344</v>
      </c>
      <c r="AC11" s="8" t="n">
        <f aca="false">AVERAGE(AB$5:AB$12)</f>
        <v>78.2673624450495</v>
      </c>
      <c r="AD11" s="8" t="n">
        <f aca="false">(AB11-AC11)/AC11</f>
        <v>-0.0297619830013429</v>
      </c>
      <c r="AE11" s="8" t="n">
        <f aca="false">AVERAGE(E11,J11,O11,T11,Y11,AD11)</f>
        <v>0.0821317769005604</v>
      </c>
      <c r="AF11" s="8" t="n">
        <f aca="false">RANK(AE11,AE$5:AE$12,0)</f>
        <v>2</v>
      </c>
      <c r="AG11" s="8" t="n">
        <f aca="false">屬性設定!R8*INDEX(對照表!$E$2:$E$6,MATCH(屬性設定!N8,對照表!$D$2:$D$6,0))*INDEX(對照表!$E$2:$E$6,MATCH(屬性設定!O8,對照表!$D$2:$D$6,0))*INDEX(對照表!$B$2:$B$6,MATCH(屬性設定!P8,對照表!$A$2:$A$6,0))*(1-0.01*屬性設定!Q8)*(1+屬性設定!V8)*(1+屬性設定!W8)*(1+屬性設定!X8)</f>
        <v>1.318367544</v>
      </c>
      <c r="AH11" s="8" t="n">
        <f aca="false">1.2-(屬性設定!C8/100)*0.4</f>
        <v>0.952</v>
      </c>
      <c r="AI11" s="8" t="n">
        <f aca="false">12*$B$1*$AH11*INDEX(對照表!$C$17:$C$20,MATCH(屬性設定!M8,對照表!$A$17:$A$20,0))*屬性設定!Y8*$B$2</f>
        <v>11.9952</v>
      </c>
      <c r="AJ11" s="8" t="n">
        <f aca="false">100-AI11</f>
        <v>88.0048</v>
      </c>
      <c r="AK11" s="8" t="n">
        <f aca="false">24*$B$1*$AH11*INDEX(對照表!$D$17:$D$20,MATCH(屬性設定!M8,對照表!$A$17:$A$20,0))*屬性設定!Y8*$B$2</f>
        <v>23.9904</v>
      </c>
      <c r="AL11" s="8" t="n">
        <f aca="false">AJ11-AK11</f>
        <v>64.0144</v>
      </c>
      <c r="AM11" s="8" t="n">
        <f aca="false">27*$B$1*$AH11*INDEX(對照表!$E$17:$E$20,MATCH(屬性設定!M8,對照表!$A$17:$A$20,0))*屬性設定!Y8*$B$2</f>
        <v>25.704</v>
      </c>
      <c r="AN11" s="8" t="n">
        <f aca="false">AL11-AM11</f>
        <v>38.3104</v>
      </c>
    </row>
    <row r="12" customFormat="false" ht="15" hidden="false" customHeight="true" outlineLevel="0" collapsed="false">
      <c r="A12" s="8" t="str">
        <f aca="false">屬性設定!A9</f>
        <v>衝刺爆發馬</v>
      </c>
      <c r="B12" s="8" t="n">
        <f aca="false">屬性設定!D9*0.3+屬性設定!H9*0.5+屬性設定!K9*0.2</f>
        <v>65.6</v>
      </c>
      <c r="C12" s="8" t="n">
        <f aca="false">B12*$AG12*INDEX(對照表!$B$10:$B$13,MATCH(屬性設定!M9,對照表!$A$10:$A$13,0))</f>
        <v>67.34265257412</v>
      </c>
      <c r="D12" s="8" t="n">
        <f aca="false">AVERAGE(C$5:C$12)</f>
        <v>75.4410404550366</v>
      </c>
      <c r="E12" s="8" t="n">
        <f aca="false">(C12-D12)/D12</f>
        <v>-0.107347245372938</v>
      </c>
      <c r="F12" s="8" t="n">
        <f aca="false">AVERAGE(E12)</f>
        <v>-0.107347245372938</v>
      </c>
      <c r="G12" s="8" t="n">
        <f aca="false">屬性設定!B9*0.65+(屬性設定!S9*0.6+屬性設定!T9*0.4)*0.35</f>
        <v>74.22</v>
      </c>
      <c r="H12" s="8" t="n">
        <f aca="false">G12*$AG12*INDEX(對照表!$C$10:$C$13,MATCH(屬性設定!M9,對照表!$A$10:$A$13,0))</f>
        <v>80.673502629951</v>
      </c>
      <c r="I12" s="8" t="n">
        <f aca="false">AVERAGE(H$5:H$12)</f>
        <v>88.6862377168945</v>
      </c>
      <c r="J12" s="8" t="n">
        <f aca="false">(H12-I12)/I12</f>
        <v>-0.0903492502694933</v>
      </c>
      <c r="K12" s="8" t="n">
        <f aca="false">AVERAGE(E12,J12)</f>
        <v>-0.0988482478212158</v>
      </c>
      <c r="L12" s="8" t="n">
        <f aca="false">屬性設定!B9*0.3+屬性設定!C9*0.3+(屬性設定!T9*0.5+屬性設定!U9*0.5)*0.4</f>
        <v>67</v>
      </c>
      <c r="M12" s="8" t="n">
        <f aca="false">L12*$AG12*INDEX(對照表!$D$10:$D$13,MATCH(屬性設定!M9,對照表!$A$10:$A$13,0))</f>
        <v>80.9174627415</v>
      </c>
      <c r="N12" s="8" t="n">
        <f aca="false">AVERAGE(M$5:M$12)</f>
        <v>86.3313397354556</v>
      </c>
      <c r="O12" s="8" t="n">
        <f aca="false">(M12-N12)/N12</f>
        <v>-0.0627104480313328</v>
      </c>
      <c r="P12" s="8" t="n">
        <f aca="false">AVERAGE(E12,J12,O12)</f>
        <v>-0.0868023145579215</v>
      </c>
      <c r="Q12" s="8" t="n">
        <f aca="false">屬性設定!C9*0.5+屬性設定!F9*0.2+AN12*0.3</f>
        <v>57.17424</v>
      </c>
      <c r="R12" s="8" t="n">
        <f aca="false">Q12*$AG12*INDEX(對照表!$E$10:$E$13,MATCH(屬性設定!M9,對照表!$A$10:$A$13,0))</f>
        <v>75.955729529417</v>
      </c>
      <c r="S12" s="8" t="n">
        <f aca="false">AVERAGE(R$5:R$12)</f>
        <v>70.3905033911856</v>
      </c>
      <c r="T12" s="8" t="n">
        <f aca="false">(R12-S12)/S12</f>
        <v>0.0790621727380389</v>
      </c>
      <c r="U12" s="8" t="n">
        <f aca="false">AVERAGE(E12,J12,O12,T12)</f>
        <v>-0.0453361927339314</v>
      </c>
      <c r="V12" s="8" t="n">
        <f aca="false">屬性設定!E9*0.2+屬性設定!G9*0.4+屬性設定!I9*0.4</f>
        <v>58</v>
      </c>
      <c r="W12" s="8" t="n">
        <f aca="false">V12*$AG12*INDEX(對照表!$F$10:$F$13,MATCH(屬性設定!M9,對照表!$A$10:$A$13,0))</f>
        <v>70.047952821</v>
      </c>
      <c r="X12" s="8" t="n">
        <f aca="false">AVERAGE(W$5:W$12)</f>
        <v>78.7045091977575</v>
      </c>
      <c r="Y12" s="8" t="n">
        <f aca="false">(W12-X12)/X12</f>
        <v>-0.109988061230476</v>
      </c>
      <c r="Z12" s="8" t="n">
        <f aca="false">AVERAGE(E12,J12,O12,T12,Y12)</f>
        <v>-0.0582665664332403</v>
      </c>
      <c r="AA12" s="8" t="n">
        <f aca="false">屬性設定!B9*0.4+屬性設定!D9*0.4+屬性設定!F9*0.2</f>
        <v>80.8</v>
      </c>
      <c r="AB12" s="8" t="n">
        <f aca="false">AA12*$AG12*INDEX(對照表!$G$10:$G$13,MATCH(屬性設定!M9,對照表!$A$10:$A$13,0))</f>
        <v>112.22165131254</v>
      </c>
      <c r="AC12" s="8" t="n">
        <f aca="false">AVERAGE(AB$5:AB$12)</f>
        <v>78.2673624450495</v>
      </c>
      <c r="AD12" s="8" t="n">
        <f aca="false">(AB12-AC12)/AC12</f>
        <v>0.433824365696868</v>
      </c>
      <c r="AE12" s="8" t="n">
        <f aca="false">AVERAGE(E12,J12,O12,T12,Y12,AD12)</f>
        <v>0.0237485889217778</v>
      </c>
      <c r="AF12" s="8" t="n">
        <f aca="false">RANK(AE12,AE$5:AE$12,0)</f>
        <v>4</v>
      </c>
      <c r="AG12" s="8" t="n">
        <f aca="false">屬性設定!R9*INDEX(對照表!$E$2:$E$6,MATCH(屬性設定!N9,對照表!$D$2:$D$6,0))*INDEX(對照表!$E$2:$E$6,MATCH(屬性設定!O9,對照表!$D$2:$D$6,0))*INDEX(對照表!$B$2:$B$6,MATCH(屬性設定!P9,對照表!$A$2:$A$6,0))*(1-0.01*屬性設定!Q9)*(1+屬性設定!V9)*(1+屬性設定!W9)*(1+屬性設定!X9)</f>
        <v>1.2077233245</v>
      </c>
      <c r="AH12" s="8" t="n">
        <f aca="false">1.2-(屬性設定!C9/100)*0.4</f>
        <v>0.96</v>
      </c>
      <c r="AI12" s="8" t="n">
        <f aca="false">12*$B$1*$AH12*INDEX(對照表!$C$17:$C$20,MATCH(屬性設定!M9,對照表!$A$17:$A$20,0))*屬性設定!Y9*$B$2</f>
        <v>11.4048</v>
      </c>
      <c r="AJ12" s="8" t="n">
        <f aca="false">100-AI12</f>
        <v>88.5952</v>
      </c>
      <c r="AK12" s="8" t="n">
        <f aca="false">24*$B$1*$AH12*INDEX(對照表!$D$17:$D$20,MATCH(屬性設定!M9,對照表!$A$17:$A$20,0))*屬性設定!Y9*$B$2</f>
        <v>24.0768</v>
      </c>
      <c r="AL12" s="8" t="n">
        <f aca="false">AJ12-AK12</f>
        <v>64.5184</v>
      </c>
      <c r="AM12" s="8" t="n">
        <f aca="false">27*$B$1*$AH12*INDEX(對照表!$E$17:$E$20,MATCH(屬性設定!M9,對照表!$A$17:$A$20,0))*屬性設定!Y9*$B$2</f>
        <v>29.9376</v>
      </c>
      <c r="AN12" s="8" t="n">
        <f aca="false">AL12-AM12</f>
        <v>34.5808</v>
      </c>
    </row>
    <row r="14" customFormat="false" ht="15" hidden="false" customHeight="true" outlineLevel="0" collapsed="false">
      <c r="A14" s="10" t="s">
        <v>147</v>
      </c>
    </row>
    <row r="15" customFormat="false" ht="15" hidden="false" customHeight="true" outlineLevel="0" collapsed="false">
      <c r="A15" s="10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3"/>
    <col collapsed="false" customWidth="true" hidden="false" outlineLevel="0" max="4" min="4" style="1" width="40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8" min="7" style="1" width="16"/>
  </cols>
  <sheetData>
    <row r="1" customFormat="false" ht="17.25" hidden="false" customHeight="true" outlineLevel="0" collapsed="false">
      <c r="A1" s="2" t="s">
        <v>149</v>
      </c>
      <c r="D1" s="10" t="s">
        <v>150</v>
      </c>
    </row>
    <row r="2" customFormat="false" ht="16.5" hidden="false" customHeight="true" outlineLevel="0" collapsed="false">
      <c r="A2" s="17" t="s">
        <v>151</v>
      </c>
      <c r="B2" s="12" t="n">
        <v>85</v>
      </c>
    </row>
    <row r="3" customFormat="false" ht="16.5" hidden="false" customHeight="true" outlineLevel="0" collapsed="false">
      <c r="A3" s="17" t="s">
        <v>152</v>
      </c>
      <c r="B3" s="12" t="n">
        <v>30</v>
      </c>
    </row>
    <row r="4" customFormat="false" ht="16.5" hidden="false" customHeight="true" outlineLevel="0" collapsed="false">
      <c r="A4" s="17" t="s">
        <v>153</v>
      </c>
      <c r="B4" s="12" t="n">
        <v>2</v>
      </c>
    </row>
    <row r="5" customFormat="false" ht="15" hidden="false" customHeight="true" outlineLevel="0" collapsed="false">
      <c r="A5" s="17" t="s">
        <v>154</v>
      </c>
      <c r="B5" s="12" t="n">
        <v>1.1</v>
      </c>
    </row>
    <row r="6" customFormat="false" ht="15" hidden="false" customHeight="true" outlineLevel="0" collapsed="false">
      <c r="A6" s="17" t="s">
        <v>155</v>
      </c>
      <c r="B6" s="12" t="n">
        <v>1.1</v>
      </c>
    </row>
    <row r="7" customFormat="false" ht="15" hidden="false" customHeight="true" outlineLevel="0" collapsed="false">
      <c r="A7" s="17" t="s">
        <v>156</v>
      </c>
      <c r="B7" s="12" t="n">
        <v>1</v>
      </c>
    </row>
    <row r="8" customFormat="false" ht="15" hidden="false" customHeight="true" outlineLevel="0" collapsed="false">
      <c r="A8" s="17" t="s">
        <v>157</v>
      </c>
      <c r="B8" s="12" t="n">
        <v>52</v>
      </c>
    </row>
    <row r="9" customFormat="false" ht="15" hidden="false" customHeight="true" outlineLevel="0" collapsed="false">
      <c r="A9" s="17" t="s">
        <v>158</v>
      </c>
      <c r="B9" s="12" t="n">
        <v>104</v>
      </c>
    </row>
    <row r="10" customFormat="false" ht="15" hidden="false" customHeight="true" outlineLevel="0" collapsed="false">
      <c r="A10" s="17" t="s">
        <v>159</v>
      </c>
      <c r="B10" s="12" t="n">
        <v>130</v>
      </c>
    </row>
    <row r="11" customFormat="false" ht="16.5" hidden="false" customHeight="true" outlineLevel="0" collapsed="false">
      <c r="A11" s="17" t="s">
        <v>160</v>
      </c>
      <c r="B11" s="18" t="n">
        <v>1.2</v>
      </c>
    </row>
    <row r="12" customFormat="false" ht="16.5" hidden="false" customHeight="true" outlineLevel="0" collapsed="false">
      <c r="A12" s="17" t="s">
        <v>161</v>
      </c>
      <c r="B12" s="18" t="n">
        <v>1</v>
      </c>
    </row>
    <row r="13" customFormat="false" ht="16.5" hidden="false" customHeight="true" outlineLevel="0" collapsed="false">
      <c r="A13" s="17" t="s">
        <v>162</v>
      </c>
      <c r="B13" s="18" t="n">
        <v>0.5</v>
      </c>
    </row>
    <row r="14" customFormat="false" ht="16.5" hidden="false" customHeight="true" outlineLevel="0" collapsed="false">
      <c r="A14" s="17" t="s">
        <v>163</v>
      </c>
      <c r="B14" s="18" t="n">
        <v>0.1</v>
      </c>
    </row>
    <row r="17" customFormat="false" ht="63.75" hidden="false" customHeight="true" outlineLevel="0" collapsed="false">
      <c r="A17" s="6" t="s">
        <v>164</v>
      </c>
      <c r="B17" s="6" t="s">
        <v>165</v>
      </c>
      <c r="C17" s="6" t="s">
        <v>166</v>
      </c>
      <c r="D17" s="6" t="s">
        <v>167</v>
      </c>
      <c r="E17" s="6" t="s">
        <v>168</v>
      </c>
      <c r="F17" s="6" t="s">
        <v>169</v>
      </c>
    </row>
    <row r="18" customFormat="false" ht="15" hidden="false" customHeight="true" outlineLevel="0" collapsed="false">
      <c r="A18" s="8" t="n">
        <v>1</v>
      </c>
      <c r="B18" s="8" t="str">
        <f aca="false">IF(A18&lt;=$B$8,"上升期",IF(A18&lt;=$B$9,"巔峰期",IF(A18&lt;=$B$10,"停滯期","衰退期")))</f>
        <v>上升期</v>
      </c>
      <c r="C18" s="8" t="n">
        <f aca="false">IF(B18="上升期",$B$11,IF(B18="巔峰期",$B$12,IF(B18="停滯期",$B$13,$B$14)))</f>
        <v>1.2</v>
      </c>
      <c r="D18" s="8" t="n">
        <f aca="false">$B$4*(($B$2-$B$3)/100)*C18*$B$5*$B$6*$B$7</f>
        <v>1.5972</v>
      </c>
      <c r="E18" s="8" t="n">
        <f aca="false">MIN($B$3+D18,$B$2)</f>
        <v>31.5972</v>
      </c>
      <c r="F18" s="19" t="n">
        <f aca="false">E18/$B$2</f>
        <v>0.371731764705882</v>
      </c>
    </row>
    <row r="19" customFormat="false" ht="15" hidden="false" customHeight="true" outlineLevel="0" collapsed="false">
      <c r="A19" s="8" t="n">
        <v>2</v>
      </c>
      <c r="B19" s="8" t="str">
        <f aca="false">IF(A19&lt;=$B$8,"上升期",IF(A19&lt;=$B$9,"巔峰期",IF(A19&lt;=$B$10,"停滯期","衰退期")))</f>
        <v>上升期</v>
      </c>
      <c r="C19" s="8" t="n">
        <f aca="false">IF(B19="上升期",$B$11,IF(B19="巔峰期",$B$12,IF(B19="停滯期",$B$13,$B$14)))</f>
        <v>1.2</v>
      </c>
      <c r="D19" s="8" t="n">
        <f aca="false">$B$4*(($B$2-E18)/100)*C19*$B$5*$B$6*$B$7</f>
        <v>1.550817312</v>
      </c>
      <c r="E19" s="8" t="n">
        <f aca="false">MIN(E18+D19,$B$2)</f>
        <v>33.148017312</v>
      </c>
      <c r="F19" s="19" t="n">
        <f aca="false">E19/$B$2</f>
        <v>0.389976674258824</v>
      </c>
    </row>
    <row r="20" customFormat="false" ht="15" hidden="false" customHeight="true" outlineLevel="0" collapsed="false">
      <c r="A20" s="8" t="n">
        <v>3</v>
      </c>
      <c r="B20" s="8" t="str">
        <f aca="false">IF(A20&lt;=$B$8,"上升期",IF(A20&lt;=$B$9,"巔峰期",IF(A20&lt;=$B$10,"停滯期","衰退期")))</f>
        <v>上升期</v>
      </c>
      <c r="C20" s="8" t="n">
        <f aca="false">IF(B20="上升期",$B$11,IF(B20="巔峰期",$B$12,IF(B20="停滯期",$B$13,$B$14)))</f>
        <v>1.2</v>
      </c>
      <c r="D20" s="8" t="n">
        <f aca="false">$B$4*(($B$2-E19)/100)*C20*$B$5*$B$6*$B$7</f>
        <v>1.50578157725952</v>
      </c>
      <c r="E20" s="8" t="n">
        <f aca="false">MIN(E19+D20,$B$2)</f>
        <v>34.6537988892595</v>
      </c>
      <c r="F20" s="19" t="n">
        <f aca="false">E20/$B$2</f>
        <v>0.407691751638347</v>
      </c>
    </row>
    <row r="21" customFormat="false" ht="15" hidden="false" customHeight="true" outlineLevel="0" collapsed="false">
      <c r="A21" s="8" t="n">
        <v>4</v>
      </c>
      <c r="B21" s="8" t="str">
        <f aca="false">IF(A21&lt;=$B$8,"上升期",IF(A21&lt;=$B$9,"巔峰期",IF(A21&lt;=$B$10,"停滯期","衰退期")))</f>
        <v>上升期</v>
      </c>
      <c r="C21" s="8" t="n">
        <f aca="false">IF(B21="上升期",$B$11,IF(B21="巔峰期",$B$12,IF(B21="停滯期",$B$13,$B$14)))</f>
        <v>1.2</v>
      </c>
      <c r="D21" s="8" t="n">
        <f aca="false">$B$4*(($B$2-E20)/100)*C21*$B$5*$B$6*$B$7</f>
        <v>1.4620536802559</v>
      </c>
      <c r="E21" s="8" t="n">
        <f aca="false">MIN(E20+D21,$B$2)</f>
        <v>36.1158525695154</v>
      </c>
      <c r="F21" s="19" t="n">
        <f aca="false">E21/$B$2</f>
        <v>0.42489238317077</v>
      </c>
    </row>
    <row r="22" customFormat="false" ht="15" hidden="false" customHeight="true" outlineLevel="0" collapsed="false">
      <c r="A22" s="8" t="n">
        <v>5</v>
      </c>
      <c r="B22" s="8" t="str">
        <f aca="false">IF(A22&lt;=$B$8,"上升期",IF(A22&lt;=$B$9,"巔峰期",IF(A22&lt;=$B$10,"停滯期","衰退期")))</f>
        <v>上升期</v>
      </c>
      <c r="C22" s="8" t="n">
        <f aca="false">IF(B22="上升期",$B$11,IF(B22="巔峰期",$B$12,IF(B22="停滯期",$B$13,$B$14)))</f>
        <v>1.2</v>
      </c>
      <c r="D22" s="8" t="n">
        <f aca="false">$B$4*(($B$2-E21)/100)*C22*$B$5*$B$6*$B$7</f>
        <v>1.41959564138127</v>
      </c>
      <c r="E22" s="8" t="n">
        <f aca="false">MIN(E21+D22,$B$2)</f>
        <v>37.5354482108967</v>
      </c>
      <c r="F22" s="19" t="n">
        <f aca="false">E22/$B$2</f>
        <v>0.441593508363491</v>
      </c>
    </row>
    <row r="23" customFormat="false" ht="15" hidden="false" customHeight="true" outlineLevel="0" collapsed="false">
      <c r="A23" s="8" t="n">
        <v>6</v>
      </c>
      <c r="B23" s="8" t="str">
        <f aca="false">IF(A23&lt;=$B$8,"上升期",IF(A23&lt;=$B$9,"巔峰期",IF(A23&lt;=$B$10,"停滯期","衰退期")))</f>
        <v>上升期</v>
      </c>
      <c r="C23" s="8" t="n">
        <f aca="false">IF(B23="上升期",$B$11,IF(B23="巔峰期",$B$12,IF(B23="停滯期",$B$13,$B$14)))</f>
        <v>1.2</v>
      </c>
      <c r="D23" s="8" t="n">
        <f aca="false">$B$4*(($B$2-E22)/100)*C23*$B$5*$B$6*$B$7</f>
        <v>1.37837058395556</v>
      </c>
      <c r="E23" s="8" t="n">
        <f aca="false">MIN(E22+D23,$B$2)</f>
        <v>38.9138187948523</v>
      </c>
      <c r="F23" s="19" t="n">
        <f aca="false">E23/$B$2</f>
        <v>0.457809632880615</v>
      </c>
    </row>
    <row r="24" customFormat="false" ht="15" hidden="false" customHeight="true" outlineLevel="0" collapsed="false">
      <c r="A24" s="8" t="n">
        <v>7</v>
      </c>
      <c r="B24" s="8" t="str">
        <f aca="false">IF(A24&lt;=$B$8,"上升期",IF(A24&lt;=$B$9,"巔峰期",IF(A24&lt;=$B$10,"停滯期","衰退期")))</f>
        <v>上升期</v>
      </c>
      <c r="C24" s="8" t="n">
        <f aca="false">IF(B24="上升期",$B$11,IF(B24="巔峰期",$B$12,IF(B24="停滯期",$B$13,$B$14)))</f>
        <v>1.2</v>
      </c>
      <c r="D24" s="8" t="n">
        <f aca="false">$B$4*(($B$2-E23)/100)*C24*$B$5*$B$6*$B$7</f>
        <v>1.33834270219749</v>
      </c>
      <c r="E24" s="8" t="n">
        <f aca="false">MIN(E23+D24,$B$2)</f>
        <v>40.2521614970498</v>
      </c>
      <c r="F24" s="19" t="n">
        <f aca="false">E24/$B$2</f>
        <v>0.473554841141762</v>
      </c>
    </row>
    <row r="25" customFormat="false" ht="15" hidden="false" customHeight="true" outlineLevel="0" collapsed="false">
      <c r="A25" s="8" t="n">
        <v>8</v>
      </c>
      <c r="B25" s="8" t="str">
        <f aca="false">IF(A25&lt;=$B$8,"上升期",IF(A25&lt;=$B$9,"巔峰期",IF(A25&lt;=$B$10,"停滯期","衰退期")))</f>
        <v>上升期</v>
      </c>
      <c r="C25" s="8" t="n">
        <f aca="false">IF(B25="上升期",$B$11,IF(B25="巔峰期",$B$12,IF(B25="停滯期",$B$13,$B$14)))</f>
        <v>1.2</v>
      </c>
      <c r="D25" s="8" t="n">
        <f aca="false">$B$4*(($B$2-E24)/100)*C25*$B$5*$B$6*$B$7</f>
        <v>1.29947723012568</v>
      </c>
      <c r="E25" s="8" t="n">
        <f aca="false">MIN(E24+D25,$B$2)</f>
        <v>41.5516387271754</v>
      </c>
      <c r="F25" s="19" t="n">
        <f aca="false">E25/$B$2</f>
        <v>0.488842808555005</v>
      </c>
    </row>
    <row r="26" customFormat="false" ht="15" hidden="false" customHeight="true" outlineLevel="0" collapsed="false">
      <c r="A26" s="8" t="n">
        <v>9</v>
      </c>
      <c r="B26" s="8" t="str">
        <f aca="false">IF(A26&lt;=$B$8,"上升期",IF(A26&lt;=$B$9,"巔峰期",IF(A26&lt;=$B$10,"停滯期","衰退期")))</f>
        <v>上升期</v>
      </c>
      <c r="C26" s="8" t="n">
        <f aca="false">IF(B26="上升期",$B$11,IF(B26="巔峰期",$B$12,IF(B26="停滯期",$B$13,$B$14)))</f>
        <v>1.2</v>
      </c>
      <c r="D26" s="8" t="n">
        <f aca="false">$B$4*(($B$2-E25)/100)*C26*$B$5*$B$6*$B$7</f>
        <v>1.26174041136283</v>
      </c>
      <c r="E26" s="8" t="n">
        <f aca="false">MIN(E25+D26,$B$2)</f>
        <v>42.8133791385382</v>
      </c>
      <c r="F26" s="19" t="n">
        <f aca="false">E26/$B$2</f>
        <v>0.503686813394568</v>
      </c>
    </row>
    <row r="27" customFormat="false" ht="15" hidden="false" customHeight="true" outlineLevel="0" collapsed="false">
      <c r="A27" s="8" t="n">
        <v>10</v>
      </c>
      <c r="B27" s="8" t="str">
        <f aca="false">IF(A27&lt;=$B$8,"上升期",IF(A27&lt;=$B$9,"巔峰期",IF(A27&lt;=$B$10,"停滯期","衰退期")))</f>
        <v>上升期</v>
      </c>
      <c r="C27" s="8" t="n">
        <f aca="false">IF(B27="上升期",$B$11,IF(B27="巔峰期",$B$12,IF(B27="停滯期",$B$13,$B$14)))</f>
        <v>1.2</v>
      </c>
      <c r="D27" s="8" t="n">
        <f aca="false">$B$4*(($B$2-E26)/100)*C27*$B$5*$B$6*$B$7</f>
        <v>1.22509946981685</v>
      </c>
      <c r="E27" s="8" t="n">
        <f aca="false">MIN(E26+D27,$B$2)</f>
        <v>44.0384786083551</v>
      </c>
      <c r="F27" s="19" t="n">
        <f aca="false">E27/$B$2</f>
        <v>0.518099748333589</v>
      </c>
    </row>
    <row r="28" customFormat="false" ht="15" hidden="false" customHeight="true" outlineLevel="0" collapsed="false">
      <c r="A28" s="8" t="n">
        <v>11</v>
      </c>
      <c r="B28" s="8" t="str">
        <f aca="false">IF(A28&lt;=$B$8,"上升期",IF(A28&lt;=$B$9,"巔峰期",IF(A28&lt;=$B$10,"停滯期","衰退期")))</f>
        <v>上升期</v>
      </c>
      <c r="C28" s="8" t="n">
        <f aca="false">IF(B28="上升期",$B$11,IF(B28="巔峰期",$B$12,IF(B28="停滯期",$B$13,$B$14)))</f>
        <v>1.2</v>
      </c>
      <c r="D28" s="8" t="n">
        <f aca="false">$B$4*(($B$2-E27)/100)*C28*$B$5*$B$6*$B$7</f>
        <v>1.18952258121337</v>
      </c>
      <c r="E28" s="8" t="n">
        <f aca="false">MIN(E27+D28,$B$2)</f>
        <v>45.2280011895685</v>
      </c>
      <c r="F28" s="19" t="n">
        <f aca="false">E28/$B$2</f>
        <v>0.532094131641982</v>
      </c>
    </row>
    <row r="29" customFormat="false" ht="15" hidden="false" customHeight="true" outlineLevel="0" collapsed="false">
      <c r="A29" s="8" t="n">
        <v>12</v>
      </c>
      <c r="B29" s="8" t="str">
        <f aca="false">IF(A29&lt;=$B$8,"上升期",IF(A29&lt;=$B$9,"巔峰期",IF(A29&lt;=$B$10,"停滯期","衰退期")))</f>
        <v>上升期</v>
      </c>
      <c r="C29" s="8" t="n">
        <f aca="false">IF(B29="上升期",$B$11,IF(B29="巔峰期",$B$12,IF(B29="停滯期",$B$13,$B$14)))</f>
        <v>1.2</v>
      </c>
      <c r="D29" s="8" t="n">
        <f aca="false">$B$4*(($B$2-E28)/100)*C29*$B$5*$B$6*$B$7</f>
        <v>1.15497884545493</v>
      </c>
      <c r="E29" s="8" t="n">
        <f aca="false">MIN(E28+D29,$B$2)</f>
        <v>46.3829800350234</v>
      </c>
      <c r="F29" s="19" t="n">
        <f aca="false">E29/$B$2</f>
        <v>0.545682118059099</v>
      </c>
    </row>
    <row r="30" customFormat="false" ht="15" hidden="false" customHeight="true" outlineLevel="0" collapsed="false">
      <c r="A30" s="8" t="n">
        <v>13</v>
      </c>
      <c r="B30" s="8" t="str">
        <f aca="false">IF(A30&lt;=$B$8,"上升期",IF(A30&lt;=$B$9,"巔峰期",IF(A30&lt;=$B$10,"停滯期","衰退期")))</f>
        <v>上升期</v>
      </c>
      <c r="C30" s="8" t="n">
        <f aca="false">IF(B30="上升期",$B$11,IF(B30="巔峰期",$B$12,IF(B30="停滯期",$B$13,$B$14)))</f>
        <v>1.2</v>
      </c>
      <c r="D30" s="8" t="n">
        <f aca="false">$B$4*(($B$2-E29)/100)*C30*$B$5*$B$6*$B$7</f>
        <v>1.12143825978292</v>
      </c>
      <c r="E30" s="8" t="n">
        <f aca="false">MIN(E29+D30,$B$2)</f>
        <v>47.5044182948063</v>
      </c>
      <c r="F30" s="19" t="n">
        <f aca="false">E30/$B$2</f>
        <v>0.558875509350663</v>
      </c>
    </row>
    <row r="31" customFormat="false" ht="15" hidden="false" customHeight="true" outlineLevel="0" collapsed="false">
      <c r="A31" s="8" t="n">
        <v>14</v>
      </c>
      <c r="B31" s="8" t="str">
        <f aca="false">IF(A31&lt;=$B$8,"上升期",IF(A31&lt;=$B$9,"巔峰期",IF(A31&lt;=$B$10,"停滯期","衰退期")))</f>
        <v>上升期</v>
      </c>
      <c r="C31" s="8" t="n">
        <f aca="false">IF(B31="上升期",$B$11,IF(B31="巔峰期",$B$12,IF(B31="停滯期",$B$13,$B$14)))</f>
        <v>1.2</v>
      </c>
      <c r="D31" s="8" t="n">
        <f aca="false">$B$4*(($B$2-E30)/100)*C31*$B$5*$B$6*$B$7</f>
        <v>1.08887169271883</v>
      </c>
      <c r="E31" s="8" t="n">
        <f aca="false">MIN(E30+D31,$B$2)</f>
        <v>48.5932899875251</v>
      </c>
      <c r="F31" s="19" t="n">
        <f aca="false">E31/$B$2</f>
        <v>0.571685764559119</v>
      </c>
    </row>
    <row r="32" customFormat="false" ht="15" hidden="false" customHeight="true" outlineLevel="0" collapsed="false">
      <c r="A32" s="8" t="n">
        <v>15</v>
      </c>
      <c r="B32" s="8" t="str">
        <f aca="false">IF(A32&lt;=$B$8,"上升期",IF(A32&lt;=$B$9,"巔峰期",IF(A32&lt;=$B$10,"停滯期","衰退期")))</f>
        <v>上升期</v>
      </c>
      <c r="C32" s="8" t="n">
        <f aca="false">IF(B32="上升期",$B$11,IF(B32="巔峰期",$B$12,IF(B32="停滯期",$B$13,$B$14)))</f>
        <v>1.2</v>
      </c>
      <c r="D32" s="8" t="n">
        <f aca="false">$B$4*(($B$2-E31)/100)*C32*$B$5*$B$6*$B$7</f>
        <v>1.05725085876227</v>
      </c>
      <c r="E32" s="8" t="n">
        <f aca="false">MIN(E31+D32,$B$2)</f>
        <v>49.6505408462874</v>
      </c>
      <c r="F32" s="19" t="n">
        <f aca="false">E32/$B$2</f>
        <v>0.584124009956323</v>
      </c>
    </row>
    <row r="33" customFormat="false" ht="15" hidden="false" customHeight="true" outlineLevel="0" collapsed="false">
      <c r="A33" s="8" t="n">
        <v>16</v>
      </c>
      <c r="B33" s="8" t="str">
        <f aca="false">IF(A33&lt;=$B$8,"上升期",IF(A33&lt;=$B$9,"巔峰期",IF(A33&lt;=$B$10,"停滯期","衰退期")))</f>
        <v>上升期</v>
      </c>
      <c r="C33" s="8" t="n">
        <f aca="false">IF(B33="上升期",$B$11,IF(B33="巔峰期",$B$12,IF(B33="停滯期",$B$13,$B$14)))</f>
        <v>1.2</v>
      </c>
      <c r="D33" s="8" t="n">
        <f aca="false">$B$4*(($B$2-E32)/100)*C33*$B$5*$B$6*$B$7</f>
        <v>1.02654829382381</v>
      </c>
      <c r="E33" s="8" t="n">
        <f aca="false">MIN(E32+D33,$B$2)</f>
        <v>50.6770891401112</v>
      </c>
      <c r="F33" s="19" t="n">
        <f aca="false">E33/$B$2</f>
        <v>0.596201048707191</v>
      </c>
    </row>
    <row r="34" customFormat="false" ht="15" hidden="false" customHeight="true" outlineLevel="0" collapsed="false">
      <c r="A34" s="8" t="n">
        <v>17</v>
      </c>
      <c r="B34" s="8" t="str">
        <f aca="false">IF(A34&lt;=$B$8,"上升期",IF(A34&lt;=$B$9,"巔峰期",IF(A34&lt;=$B$10,"停滯期","衰退期")))</f>
        <v>上升期</v>
      </c>
      <c r="C34" s="8" t="n">
        <f aca="false">IF(B34="上升期",$B$11,IF(B34="巔峰期",$B$12,IF(B34="停滯期",$B$13,$B$14)))</f>
        <v>1.2</v>
      </c>
      <c r="D34" s="8" t="n">
        <f aca="false">$B$4*(($B$2-E33)/100)*C34*$B$5*$B$6*$B$7</f>
        <v>0.99673733137117</v>
      </c>
      <c r="E34" s="8" t="n">
        <f aca="false">MIN(E33+D34,$B$2)</f>
        <v>51.6738264714824</v>
      </c>
      <c r="F34" s="19" t="n">
        <f aca="false">E34/$B$2</f>
        <v>0.607927370252734</v>
      </c>
    </row>
    <row r="35" customFormat="false" ht="15" hidden="false" customHeight="true" outlineLevel="0" collapsed="false">
      <c r="A35" s="8" t="n">
        <v>18</v>
      </c>
      <c r="B35" s="8" t="str">
        <f aca="false">IF(A35&lt;=$B$8,"上升期",IF(A35&lt;=$B$9,"巔峰期",IF(A35&lt;=$B$10,"停滯期","衰退期")))</f>
        <v>上升期</v>
      </c>
      <c r="C35" s="8" t="n">
        <f aca="false">IF(B35="上升期",$B$11,IF(B35="巔峰期",$B$12,IF(B35="停滯期",$B$13,$B$14)))</f>
        <v>1.2</v>
      </c>
      <c r="D35" s="8" t="n">
        <f aca="false">$B$4*(($B$2-E34)/100)*C35*$B$5*$B$6*$B$7</f>
        <v>0.967792079268151</v>
      </c>
      <c r="E35" s="8" t="n">
        <f aca="false">MIN(E34+D35,$B$2)</f>
        <v>52.6416185507506</v>
      </c>
      <c r="F35" s="19" t="n">
        <f aca="false">E35/$B$2</f>
        <v>0.619313159420595</v>
      </c>
    </row>
    <row r="36" customFormat="false" ht="15" hidden="false" customHeight="true" outlineLevel="0" collapsed="false">
      <c r="A36" s="8" t="n">
        <v>19</v>
      </c>
      <c r="B36" s="8" t="str">
        <f aca="false">IF(A36&lt;=$B$8,"上升期",IF(A36&lt;=$B$9,"巔峰期",IF(A36&lt;=$B$10,"停滯期","衰退期")))</f>
        <v>上升期</v>
      </c>
      <c r="C36" s="8" t="n">
        <f aca="false">IF(B36="上升期",$B$11,IF(B36="巔峰期",$B$12,IF(B36="停滯期",$B$13,$B$14)))</f>
        <v>1.2</v>
      </c>
      <c r="D36" s="8" t="n">
        <f aca="false">$B$4*(($B$2-E35)/100)*C36*$B$5*$B$6*$B$7</f>
        <v>0.939687397286204</v>
      </c>
      <c r="E36" s="8" t="n">
        <f aca="false">MIN(E35+D36,$B$2)</f>
        <v>53.5813059480368</v>
      </c>
      <c r="F36" s="19" t="n">
        <f aca="false">E36/$B$2</f>
        <v>0.630368305271021</v>
      </c>
    </row>
    <row r="37" customFormat="false" ht="15" hidden="false" customHeight="true" outlineLevel="0" collapsed="false">
      <c r="A37" s="8" t="n">
        <v>20</v>
      </c>
      <c r="B37" s="8" t="str">
        <f aca="false">IF(A37&lt;=$B$8,"上升期",IF(A37&lt;=$B$9,"巔峰期",IF(A37&lt;=$B$10,"停滯期","衰退期")))</f>
        <v>上升期</v>
      </c>
      <c r="C37" s="8" t="n">
        <f aca="false">IF(B37="上升期",$B$11,IF(B37="巔峰期",$B$12,IF(B37="停滯期",$B$13,$B$14)))</f>
        <v>1.2</v>
      </c>
      <c r="D37" s="8" t="n">
        <f aca="false">$B$4*(($B$2-E36)/100)*C37*$B$5*$B$6*$B$7</f>
        <v>0.912398875269013</v>
      </c>
      <c r="E37" s="8" t="n">
        <f aca="false">MIN(E36+D37,$B$2)</f>
        <v>54.4937048233058</v>
      </c>
      <c r="F37" s="19" t="n">
        <f aca="false">E37/$B$2</f>
        <v>0.64110240968595</v>
      </c>
    </row>
    <row r="38" customFormat="false" ht="15" hidden="false" customHeight="true" outlineLevel="0" collapsed="false">
      <c r="A38" s="8" t="n">
        <v>21</v>
      </c>
      <c r="B38" s="8" t="str">
        <f aca="false">IF(A38&lt;=$B$8,"上升期",IF(A38&lt;=$B$9,"巔峰期",IF(A38&lt;=$B$10,"停滯期","衰退期")))</f>
        <v>上升期</v>
      </c>
      <c r="C38" s="8" t="n">
        <f aca="false">IF(B38="上升期",$B$11,IF(B38="巔峰期",$B$12,IF(B38="停滯期",$B$13,$B$14)))</f>
        <v>1.2</v>
      </c>
      <c r="D38" s="8" t="n">
        <f aca="false">$B$4*(($B$2-E37)/100)*C38*$B$5*$B$6*$B$7</f>
        <v>0.885902811931201</v>
      </c>
      <c r="E38" s="8" t="n">
        <f aca="false">MIN(E37+D38,$B$2)</f>
        <v>55.379607635237</v>
      </c>
      <c r="F38" s="19" t="n">
        <f aca="false">E38/$B$2</f>
        <v>0.65152479570867</v>
      </c>
    </row>
    <row r="39" customFormat="false" ht="15" hidden="false" customHeight="true" outlineLevel="0" collapsed="false">
      <c r="A39" s="8" t="n">
        <v>22</v>
      </c>
      <c r="B39" s="8" t="str">
        <f aca="false">IF(A39&lt;=$B$8,"上升期",IF(A39&lt;=$B$9,"巔峰期",IF(A39&lt;=$B$10,"停滯期","衰退期")))</f>
        <v>上升期</v>
      </c>
      <c r="C39" s="8" t="n">
        <f aca="false">IF(B39="上升期",$B$11,IF(B39="巔峰期",$B$12,IF(B39="停滯期",$B$13,$B$14)))</f>
        <v>1.2</v>
      </c>
      <c r="D39" s="8" t="n">
        <f aca="false">$B$4*(($B$2-E38)/100)*C39*$B$5*$B$6*$B$7</f>
        <v>0.860176194272718</v>
      </c>
      <c r="E39" s="8" t="n">
        <f aca="false">MIN(E38+D39,$B$2)</f>
        <v>56.2397838295097</v>
      </c>
      <c r="F39" s="19" t="n">
        <f aca="false">E39/$B$2</f>
        <v>0.661644515641291</v>
      </c>
    </row>
    <row r="40" customFormat="false" ht="15" hidden="false" customHeight="true" outlineLevel="0" collapsed="false">
      <c r="A40" s="8" t="n">
        <v>23</v>
      </c>
      <c r="B40" s="8" t="str">
        <f aca="false">IF(A40&lt;=$B$8,"上升期",IF(A40&lt;=$B$9,"巔峰期",IF(A40&lt;=$B$10,"停滯期","衰退期")))</f>
        <v>上升期</v>
      </c>
      <c r="C40" s="8" t="n">
        <f aca="false">IF(B40="上升期",$B$11,IF(B40="巔峰期",$B$12,IF(B40="停滯期",$B$13,$B$14)))</f>
        <v>1.2</v>
      </c>
      <c r="D40" s="8" t="n">
        <f aca="false">$B$4*(($B$2-E39)/100)*C40*$B$5*$B$6*$B$7</f>
        <v>0.835196677591039</v>
      </c>
      <c r="E40" s="8" t="n">
        <f aca="false">MIN(E39+D40,$B$2)</f>
        <v>57.0749805071007</v>
      </c>
      <c r="F40" s="19" t="n">
        <f aca="false">E40/$B$2</f>
        <v>0.671470358907067</v>
      </c>
    </row>
    <row r="41" customFormat="false" ht="15" hidden="false" customHeight="true" outlineLevel="0" collapsed="false">
      <c r="A41" s="8" t="n">
        <v>24</v>
      </c>
      <c r="B41" s="8" t="str">
        <f aca="false">IF(A41&lt;=$B$8,"上升期",IF(A41&lt;=$B$9,"巔峰期",IF(A41&lt;=$B$10,"停滯期","衰退期")))</f>
        <v>上升期</v>
      </c>
      <c r="C41" s="8" t="n">
        <f aca="false">IF(B41="上升期",$B$11,IF(B41="巔峰期",$B$12,IF(B41="停滯期",$B$13,$B$14)))</f>
        <v>1.2</v>
      </c>
      <c r="D41" s="8" t="n">
        <f aca="false">$B$4*(($B$2-E40)/100)*C41*$B$5*$B$6*$B$7</f>
        <v>0.810942566073795</v>
      </c>
      <c r="E41" s="8" t="n">
        <f aca="false">MIN(E40+D41,$B$2)</f>
        <v>57.8859230731745</v>
      </c>
      <c r="F41" s="19" t="n">
        <f aca="false">E41/$B$2</f>
        <v>0.681010859684406</v>
      </c>
    </row>
    <row r="42" customFormat="false" ht="15" hidden="false" customHeight="true" outlineLevel="0" collapsed="false">
      <c r="A42" s="8" t="n">
        <v>25</v>
      </c>
      <c r="B42" s="8" t="str">
        <f aca="false">IF(A42&lt;=$B$8,"上升期",IF(A42&lt;=$B$9,"巔峰期",IF(A42&lt;=$B$10,"停滯期","衰退期")))</f>
        <v>上升期</v>
      </c>
      <c r="C42" s="8" t="n">
        <f aca="false">IF(B42="上升期",$B$11,IF(B42="巔峰期",$B$12,IF(B42="停滯期",$B$13,$B$14)))</f>
        <v>1.2</v>
      </c>
      <c r="D42" s="8" t="n">
        <f aca="false">$B$4*(($B$2-E41)/100)*C42*$B$5*$B$6*$B$7</f>
        <v>0.787392793955012</v>
      </c>
      <c r="E42" s="8" t="n">
        <f aca="false">MIN(E41+D42,$B$2)</f>
        <v>58.6733158671295</v>
      </c>
      <c r="F42" s="19" t="n">
        <f aca="false">E42/$B$2</f>
        <v>0.690274304319171</v>
      </c>
    </row>
    <row r="43" customFormat="false" ht="15" hidden="false" customHeight="true" outlineLevel="0" collapsed="false">
      <c r="A43" s="8" t="n">
        <v>26</v>
      </c>
      <c r="B43" s="8" t="str">
        <f aca="false">IF(A43&lt;=$B$8,"上升期",IF(A43&lt;=$B$9,"巔峰期",IF(A43&lt;=$B$10,"停滯期","衰退期")))</f>
        <v>上升期</v>
      </c>
      <c r="C43" s="8" t="n">
        <f aca="false">IF(B43="上升期",$B$11,IF(B43="巔峰期",$B$12,IF(B43="停滯期",$B$13,$B$14)))</f>
        <v>1.2</v>
      </c>
      <c r="D43" s="8" t="n">
        <f aca="false">$B$4*(($B$2-E42)/100)*C43*$B$5*$B$6*$B$7</f>
        <v>0.764526907218558</v>
      </c>
      <c r="E43" s="8" t="n">
        <f aca="false">MIN(E42+D43,$B$2)</f>
        <v>59.4378427743481</v>
      </c>
      <c r="F43" s="19" t="n">
        <f aca="false">E43/$B$2</f>
        <v>0.699268738521742</v>
      </c>
    </row>
    <row r="44" customFormat="false" ht="15" hidden="false" customHeight="true" outlineLevel="0" collapsed="false">
      <c r="A44" s="8" t="n">
        <v>27</v>
      </c>
      <c r="B44" s="8" t="str">
        <f aca="false">IF(A44&lt;=$B$8,"上升期",IF(A44&lt;=$B$9,"巔峰期",IF(A44&lt;=$B$10,"停滯期","衰退期")))</f>
        <v>上升期</v>
      </c>
      <c r="C44" s="8" t="n">
        <f aca="false">IF(B44="上升期",$B$11,IF(B44="巔峰期",$B$12,IF(B44="停滯期",$B$13,$B$14)))</f>
        <v>1.2</v>
      </c>
      <c r="D44" s="8" t="n">
        <f aca="false">$B$4*(($B$2-E43)/100)*C44*$B$5*$B$6*$B$7</f>
        <v>0.742325045832931</v>
      </c>
      <c r="E44" s="8" t="n">
        <f aca="false">MIN(E43+D44,$B$2)</f>
        <v>60.180167820181</v>
      </c>
      <c r="F44" s="19" t="n">
        <f aca="false">E44/$B$2</f>
        <v>0.708001974355071</v>
      </c>
    </row>
    <row r="45" customFormat="false" ht="15" hidden="false" customHeight="true" outlineLevel="0" collapsed="false">
      <c r="A45" s="8" t="n">
        <v>28</v>
      </c>
      <c r="B45" s="8" t="str">
        <f aca="false">IF(A45&lt;=$B$8,"上升期",IF(A45&lt;=$B$9,"巔峰期",IF(A45&lt;=$B$10,"停滯期","衰退期")))</f>
        <v>上升期</v>
      </c>
      <c r="C45" s="8" t="n">
        <f aca="false">IF(B45="上升期",$B$11,IF(B45="巔峰期",$B$12,IF(B45="停滯期",$B$13,$B$14)))</f>
        <v>1.2</v>
      </c>
      <c r="D45" s="8" t="n">
        <f aca="false">$B$4*(($B$2-E44)/100)*C45*$B$5*$B$6*$B$7</f>
        <v>0.720767926501943</v>
      </c>
      <c r="E45" s="8" t="n">
        <f aca="false">MIN(E44+D45,$B$2)</f>
        <v>60.900935746683</v>
      </c>
      <c r="F45" s="19" t="n">
        <f aca="false">E45/$B$2</f>
        <v>0.7164815970198</v>
      </c>
    </row>
    <row r="46" customFormat="false" ht="15" hidden="false" customHeight="true" outlineLevel="0" collapsed="false">
      <c r="A46" s="8" t="n">
        <v>29</v>
      </c>
      <c r="B46" s="8" t="str">
        <f aca="false">IF(A46&lt;=$B$8,"上升期",IF(A46&lt;=$B$9,"巔峰期",IF(A46&lt;=$B$10,"停滯期","衰退期")))</f>
        <v>上升期</v>
      </c>
      <c r="C46" s="8" t="n">
        <f aca="false">IF(B46="上升期",$B$11,IF(B46="巔峰期",$B$12,IF(B46="停滯期",$B$13,$B$14)))</f>
        <v>1.2</v>
      </c>
      <c r="D46" s="8" t="n">
        <f aca="false">$B$4*(($B$2-E45)/100)*C46*$B$5*$B$6*$B$7</f>
        <v>0.699836825916327</v>
      </c>
      <c r="E46" s="8" t="n">
        <f aca="false">MIN(E45+D46,$B$2)</f>
        <v>61.6007725725993</v>
      </c>
      <c r="F46" s="19" t="n">
        <f aca="false">E46/$B$2</f>
        <v>0.724714971442345</v>
      </c>
    </row>
    <row r="47" customFormat="false" ht="15" hidden="false" customHeight="true" outlineLevel="0" collapsed="false">
      <c r="A47" s="8" t="n">
        <v>30</v>
      </c>
      <c r="B47" s="8" t="str">
        <f aca="false">IF(A47&lt;=$B$8,"上升期",IF(A47&lt;=$B$9,"巔峰期",IF(A47&lt;=$B$10,"停滯期","衰退期")))</f>
        <v>上升期</v>
      </c>
      <c r="C47" s="8" t="n">
        <f aca="false">IF(B47="上升期",$B$11,IF(B47="巔峰期",$B$12,IF(B47="停滯期",$B$13,$B$14)))</f>
        <v>1.2</v>
      </c>
      <c r="D47" s="8" t="n">
        <f aca="false">$B$4*(($B$2-E46)/100)*C47*$B$5*$B$6*$B$7</f>
        <v>0.679513564491717</v>
      </c>
      <c r="E47" s="8" t="n">
        <f aca="false">MIN(E46+D47,$B$2)</f>
        <v>62.280286137091</v>
      </c>
      <c r="F47" s="19" t="n">
        <f aca="false">E47/$B$2</f>
        <v>0.732709248671659</v>
      </c>
    </row>
    <row r="48" customFormat="false" ht="15" hidden="false" customHeight="true" outlineLevel="0" collapsed="false">
      <c r="A48" s="8" t="n">
        <v>31</v>
      </c>
      <c r="B48" s="8" t="str">
        <f aca="false">IF(A48&lt;=$B$8,"上升期",IF(A48&lt;=$B$9,"巔峰期",IF(A48&lt;=$B$10,"停滯期","衰退期")))</f>
        <v>上升期</v>
      </c>
      <c r="C48" s="8" t="n">
        <f aca="false">IF(B48="上升期",$B$11,IF(B48="巔峰期",$B$12,IF(B48="停滯期",$B$13,$B$14)))</f>
        <v>1.2</v>
      </c>
      <c r="D48" s="8" t="n">
        <f aca="false">$B$4*(($B$2-E47)/100)*C48*$B$5*$B$6*$B$7</f>
        <v>0.659780490578877</v>
      </c>
      <c r="E48" s="8" t="n">
        <f aca="false">MIN(E47+D48,$B$2)</f>
        <v>62.9400666276699</v>
      </c>
      <c r="F48" s="19" t="n">
        <f aca="false">E48/$B$2</f>
        <v>0.740471372090234</v>
      </c>
    </row>
    <row r="49" customFormat="false" ht="15" hidden="false" customHeight="true" outlineLevel="0" collapsed="false">
      <c r="A49" s="8" t="n">
        <v>32</v>
      </c>
      <c r="B49" s="8" t="str">
        <f aca="false">IF(A49&lt;=$B$8,"上升期",IF(A49&lt;=$B$9,"巔峰期",IF(A49&lt;=$B$10,"停滯期","衰退期")))</f>
        <v>上升期</v>
      </c>
      <c r="C49" s="8" t="n">
        <f aca="false">IF(B49="上升期",$B$11,IF(B49="巔峰期",$B$12,IF(B49="停滯期",$B$13,$B$14)))</f>
        <v>1.2</v>
      </c>
      <c r="D49" s="8" t="n">
        <f aca="false">$B$4*(($B$2-E48)/100)*C49*$B$5*$B$6*$B$7</f>
        <v>0.640620465132467</v>
      </c>
      <c r="E49" s="8" t="n">
        <f aca="false">MIN(E48+D49,$B$2)</f>
        <v>63.5806870928024</v>
      </c>
      <c r="F49" s="19" t="n">
        <f aca="false">E49/$B$2</f>
        <v>0.748008083444734</v>
      </c>
    </row>
    <row r="50" customFormat="false" ht="15" hidden="false" customHeight="true" outlineLevel="0" collapsed="false">
      <c r="A50" s="8" t="n">
        <v>33</v>
      </c>
      <c r="B50" s="8" t="str">
        <f aca="false">IF(A50&lt;=$B$8,"上升期",IF(A50&lt;=$B$9,"巔峰期",IF(A50&lt;=$B$10,"停滯期","衰退期")))</f>
        <v>上升期</v>
      </c>
      <c r="C50" s="8" t="n">
        <f aca="false">IF(B50="上升期",$B$11,IF(B50="巔峰期",$B$12,IF(B50="停滯期",$B$13,$B$14)))</f>
        <v>1.2</v>
      </c>
      <c r="D50" s="8" t="n">
        <f aca="false">$B$4*(($B$2-E49)/100)*C50*$B$5*$B$6*$B$7</f>
        <v>0.62201684682502</v>
      </c>
      <c r="E50" s="8" t="n">
        <f aca="false">MIN(E49+D50,$B$2)</f>
        <v>64.2027039396274</v>
      </c>
      <c r="F50" s="19" t="n">
        <f aca="false">E50/$B$2</f>
        <v>0.755325928701499</v>
      </c>
    </row>
    <row r="51" customFormat="false" ht="15" hidden="false" customHeight="true" outlineLevel="0" collapsed="false">
      <c r="A51" s="8" t="n">
        <v>34</v>
      </c>
      <c r="B51" s="8" t="str">
        <f aca="false">IF(A51&lt;=$B$8,"上升期",IF(A51&lt;=$B$9,"巔峰期",IF(A51&lt;=$B$10,"停滯期","衰退期")))</f>
        <v>上升期</v>
      </c>
      <c r="C51" s="8" t="n">
        <f aca="false">IF(B51="上升期",$B$11,IF(B51="巔峰期",$B$12,IF(B51="停滯期",$B$13,$B$14)))</f>
        <v>1.2</v>
      </c>
      <c r="D51" s="8" t="n">
        <f aca="false">$B$4*(($B$2-E50)/100)*C51*$B$5*$B$6*$B$7</f>
        <v>0.603953477593221</v>
      </c>
      <c r="E51" s="8" t="n">
        <f aca="false">MIN(E50+D51,$B$2)</f>
        <v>64.8066574172206</v>
      </c>
      <c r="F51" s="19" t="n">
        <f aca="false">E51/$B$2</f>
        <v>0.762431263732007</v>
      </c>
    </row>
    <row r="52" customFormat="false" ht="15" hidden="false" customHeight="true" outlineLevel="0" collapsed="false">
      <c r="A52" s="8" t="n">
        <v>35</v>
      </c>
      <c r="B52" s="8" t="str">
        <f aca="false">IF(A52&lt;=$B$8,"上升期",IF(A52&lt;=$B$9,"巔峰期",IF(A52&lt;=$B$10,"停滯期","衰退期")))</f>
        <v>上升期</v>
      </c>
      <c r="C52" s="8" t="n">
        <f aca="false">IF(B52="上升期",$B$11,IF(B52="巔峰期",$B$12,IF(B52="停滯期",$B$13,$B$14)))</f>
        <v>1.2</v>
      </c>
      <c r="D52" s="8" t="n">
        <f aca="false">$B$4*(($B$2-E51)/100)*C52*$B$5*$B$6*$B$7</f>
        <v>0.586414668603914</v>
      </c>
      <c r="E52" s="8" t="n">
        <f aca="false">MIN(E51+D52,$B$2)</f>
        <v>65.3930720858245</v>
      </c>
      <c r="F52" s="19" t="n">
        <f aca="false">E52/$B$2</f>
        <v>0.769330259833229</v>
      </c>
    </row>
    <row r="53" customFormat="false" ht="15" hidden="false" customHeight="true" outlineLevel="0" collapsed="false">
      <c r="A53" s="8" t="n">
        <v>36</v>
      </c>
      <c r="B53" s="8" t="str">
        <f aca="false">IF(A53&lt;=$B$8,"上升期",IF(A53&lt;=$B$9,"巔峰期",IF(A53&lt;=$B$10,"停滯期","衰退期")))</f>
        <v>上升期</v>
      </c>
      <c r="C53" s="8" t="n">
        <f aca="false">IF(B53="上升期",$B$11,IF(B53="巔峰期",$B$12,IF(B53="停滯期",$B$13,$B$14)))</f>
        <v>1.2</v>
      </c>
      <c r="D53" s="8" t="n">
        <f aca="false">$B$4*(($B$2-E52)/100)*C53*$B$5*$B$6*$B$7</f>
        <v>0.569385186627657</v>
      </c>
      <c r="E53" s="8" t="n">
        <f aca="false">MIN(E52+D53,$B$2)</f>
        <v>65.9624572724522</v>
      </c>
      <c r="F53" s="19" t="n">
        <f aca="false">E53/$B$2</f>
        <v>0.776028909087672</v>
      </c>
    </row>
    <row r="54" customFormat="false" ht="15" hidden="false" customHeight="true" outlineLevel="0" collapsed="false">
      <c r="A54" s="8" t="n">
        <v>37</v>
      </c>
      <c r="B54" s="8" t="str">
        <f aca="false">IF(A54&lt;=$B$8,"上升期",IF(A54&lt;=$B$9,"巔峰期",IF(A54&lt;=$B$10,"停滯期","衰退期")))</f>
        <v>上升期</v>
      </c>
      <c r="C54" s="8" t="n">
        <f aca="false">IF(B54="上升期",$B$11,IF(B54="巔峰期",$B$12,IF(B54="停滯期",$B$13,$B$14)))</f>
        <v>1.2</v>
      </c>
      <c r="D54" s="8" t="n">
        <f aca="false">$B$4*(($B$2-E53)/100)*C54*$B$5*$B$6*$B$7</f>
        <v>0.552850240807989</v>
      </c>
      <c r="E54" s="8" t="n">
        <f aca="false">MIN(E53+D54,$B$2)</f>
        <v>66.5153075132601</v>
      </c>
      <c r="F54" s="19" t="n">
        <f aca="false">E54/$B$2</f>
        <v>0.782533029567766</v>
      </c>
    </row>
    <row r="55" customFormat="false" ht="15" hidden="false" customHeight="true" outlineLevel="0" collapsed="false">
      <c r="A55" s="8" t="n">
        <v>38</v>
      </c>
      <c r="B55" s="8" t="str">
        <f aca="false">IF(A55&lt;=$B$8,"上升期",IF(A55&lt;=$B$9,"巔峰期",IF(A55&lt;=$B$10,"停滯期","衰退期")))</f>
        <v>上升期</v>
      </c>
      <c r="C55" s="8" t="n">
        <f aca="false">IF(B55="上升期",$B$11,IF(B55="巔峰期",$B$12,IF(B55="停滯期",$B$13,$B$14)))</f>
        <v>1.2</v>
      </c>
      <c r="D55" s="8" t="n">
        <f aca="false">$B$4*(($B$2-E54)/100)*C55*$B$5*$B$6*$B$7</f>
        <v>0.536795469814926</v>
      </c>
      <c r="E55" s="8" t="n">
        <f aca="false">MIN(E54+D55,$B$2)</f>
        <v>67.0521029830751</v>
      </c>
      <c r="F55" s="19" t="n">
        <f aca="false">E55/$B$2</f>
        <v>0.788848270389118</v>
      </c>
    </row>
    <row r="56" customFormat="false" ht="15" hidden="false" customHeight="true" outlineLevel="0" collapsed="false">
      <c r="A56" s="8" t="n">
        <v>39</v>
      </c>
      <c r="B56" s="8" t="str">
        <f aca="false">IF(A56&lt;=$B$8,"上升期",IF(A56&lt;=$B$9,"巔峰期",IF(A56&lt;=$B$10,"停滯期","衰退期")))</f>
        <v>上升期</v>
      </c>
      <c r="C56" s="8" t="n">
        <f aca="false">IF(B56="上升期",$B$11,IF(B56="巔峰期",$B$12,IF(B56="停滯期",$B$13,$B$14)))</f>
        <v>1.2</v>
      </c>
      <c r="D56" s="8" t="n">
        <f aca="false">$B$4*(($B$2-E55)/100)*C56*$B$5*$B$6*$B$7</f>
        <v>0.5212069293715</v>
      </c>
      <c r="E56" s="8" t="n">
        <f aca="false">MIN(E55+D56,$B$2)</f>
        <v>67.5733099124466</v>
      </c>
      <c r="F56" s="19" t="n">
        <f aca="false">E56/$B$2</f>
        <v>0.794980116617018</v>
      </c>
    </row>
    <row r="57" customFormat="false" ht="15" hidden="false" customHeight="true" outlineLevel="0" collapsed="false">
      <c r="A57" s="8" t="n">
        <v>40</v>
      </c>
      <c r="B57" s="8" t="str">
        <f aca="false">IF(A57&lt;=$B$8,"上升期",IF(A57&lt;=$B$9,"巔峰期",IF(A57&lt;=$B$10,"停滯期","衰退期")))</f>
        <v>上升期</v>
      </c>
      <c r="C57" s="8" t="n">
        <f aca="false">IF(B57="上升期",$B$11,IF(B57="巔峰期",$B$12,IF(B57="停滯期",$B$13,$B$14)))</f>
        <v>1.2</v>
      </c>
      <c r="D57" s="8" t="n">
        <f aca="false">$B$4*(($B$2-E56)/100)*C57*$B$5*$B$6*$B$7</f>
        <v>0.506071080142552</v>
      </c>
      <c r="E57" s="8" t="n">
        <f aca="false">MIN(E56+D57,$B$2)</f>
        <v>68.0793809925891</v>
      </c>
      <c r="F57" s="19" t="n">
        <f aca="false">E57/$B$2</f>
        <v>0.80093389403046</v>
      </c>
    </row>
    <row r="58" customFormat="false" ht="15" hidden="false" customHeight="true" outlineLevel="0" collapsed="false">
      <c r="A58" s="8" t="n">
        <v>41</v>
      </c>
      <c r="B58" s="8" t="str">
        <f aca="false">IF(A58&lt;=$B$8,"上升期",IF(A58&lt;=$B$9,"巔峰期",IF(A58&lt;=$B$10,"停滯期","衰退期")))</f>
        <v>上升期</v>
      </c>
      <c r="C58" s="8" t="n">
        <f aca="false">IF(B58="上升期",$B$11,IF(B58="巔峰期",$B$12,IF(B58="停滯期",$B$13,$B$14)))</f>
        <v>1.2</v>
      </c>
      <c r="D58" s="8" t="n">
        <f aca="false">$B$4*(($B$2-E57)/100)*C58*$B$5*$B$6*$B$7</f>
        <v>0.491374775975212</v>
      </c>
      <c r="E58" s="8" t="n">
        <f aca="false">MIN(E57+D58,$B$2)</f>
        <v>68.5707557685643</v>
      </c>
      <c r="F58" s="19" t="n">
        <f aca="false">E58/$B$2</f>
        <v>0.806714773747816</v>
      </c>
    </row>
    <row r="59" customFormat="false" ht="15" hidden="false" customHeight="true" outlineLevel="0" collapsed="false">
      <c r="A59" s="8" t="n">
        <v>42</v>
      </c>
      <c r="B59" s="8" t="str">
        <f aca="false">IF(A59&lt;=$B$8,"上升期",IF(A59&lt;=$B$9,"巔峰期",IF(A59&lt;=$B$10,"停滯期","衰退期")))</f>
        <v>上升期</v>
      </c>
      <c r="C59" s="8" t="n">
        <f aca="false">IF(B59="上升期",$B$11,IF(B59="巔峰期",$B$12,IF(B59="停滯期",$B$13,$B$14)))</f>
        <v>1.2</v>
      </c>
      <c r="D59" s="8" t="n">
        <f aca="false">$B$4*(($B$2-E58)/100)*C59*$B$5*$B$6*$B$7</f>
        <v>0.477105252480892</v>
      </c>
      <c r="E59" s="8" t="n">
        <f aca="false">MIN(E58+D59,$B$2)</f>
        <v>69.0478610210452</v>
      </c>
      <c r="F59" s="19" t="n">
        <f aca="false">E59/$B$2</f>
        <v>0.812327776718179</v>
      </c>
    </row>
    <row r="60" customFormat="false" ht="15" hidden="false" customHeight="true" outlineLevel="0" collapsed="false">
      <c r="A60" s="8" t="n">
        <v>43</v>
      </c>
      <c r="B60" s="8" t="str">
        <f aca="false">IF(A60&lt;=$B$8,"上升期",IF(A60&lt;=$B$9,"巔峰期",IF(A60&lt;=$B$10,"停滯期","衰退期")))</f>
        <v>上升期</v>
      </c>
      <c r="C60" s="8" t="n">
        <f aca="false">IF(B60="上升期",$B$11,IF(B60="巔峰期",$B$12,IF(B60="停滯期",$B$13,$B$14)))</f>
        <v>1.2</v>
      </c>
      <c r="D60" s="8" t="n">
        <f aca="false">$B$4*(($B$2-E59)/100)*C60*$B$5*$B$6*$B$7</f>
        <v>0.463250115948847</v>
      </c>
      <c r="E60" s="8" t="n">
        <f aca="false">MIN(E59+D60,$B$2)</f>
        <v>69.5111111369941</v>
      </c>
      <c r="F60" s="19" t="n">
        <f aca="false">E60/$B$2</f>
        <v>0.817777778082283</v>
      </c>
    </row>
    <row r="61" customFormat="false" ht="15" hidden="false" customHeight="true" outlineLevel="0" collapsed="false">
      <c r="A61" s="8" t="n">
        <v>44</v>
      </c>
      <c r="B61" s="8" t="str">
        <f aca="false">IF(A61&lt;=$B$8,"上升期",IF(A61&lt;=$B$9,"巔峰期",IF(A61&lt;=$B$10,"停滯期","衰退期")))</f>
        <v>上升期</v>
      </c>
      <c r="C61" s="8" t="n">
        <f aca="false">IF(B61="上升期",$B$11,IF(B61="巔峰期",$B$12,IF(B61="停滯期",$B$13,$B$14)))</f>
        <v>1.2</v>
      </c>
      <c r="D61" s="8" t="n">
        <f aca="false">$B$4*(($B$2-E60)/100)*C61*$B$5*$B$6*$B$7</f>
        <v>0.449797332581692</v>
      </c>
      <c r="E61" s="8" t="n">
        <f aca="false">MIN(E60+D61,$B$2)</f>
        <v>69.9609084695758</v>
      </c>
      <c r="F61" s="19" t="n">
        <f aca="false">E61/$B$2</f>
        <v>0.823069511406774</v>
      </c>
    </row>
    <row r="62" customFormat="false" ht="15" hidden="false" customHeight="true" outlineLevel="0" collapsed="false">
      <c r="A62" s="8" t="n">
        <v>45</v>
      </c>
      <c r="B62" s="8" t="str">
        <f aca="false">IF(A62&lt;=$B$8,"上升期",IF(A62&lt;=$B$9,"巔峰期",IF(A62&lt;=$B$10,"停滯期","衰退期")))</f>
        <v>上升期</v>
      </c>
      <c r="C62" s="8" t="n">
        <f aca="false">IF(B62="上升期",$B$11,IF(B62="巔峰期",$B$12,IF(B62="停滯期",$B$13,$B$14)))</f>
        <v>1.2</v>
      </c>
      <c r="D62" s="8" t="n">
        <f aca="false">$B$4*(($B$2-E61)/100)*C62*$B$5*$B$6*$B$7</f>
        <v>0.43673521804352</v>
      </c>
      <c r="E62" s="8" t="n">
        <f aca="false">MIN(E61+D62,$B$2)</f>
        <v>70.3976436876193</v>
      </c>
      <c r="F62" s="19" t="n">
        <f aca="false">E62/$B$2</f>
        <v>0.828207572795521</v>
      </c>
    </row>
    <row r="63" customFormat="false" ht="15" hidden="false" customHeight="true" outlineLevel="0" collapsed="false">
      <c r="A63" s="8" t="n">
        <v>46</v>
      </c>
      <c r="B63" s="8" t="str">
        <f aca="false">IF(A63&lt;=$B$8,"上升期",IF(A63&lt;=$B$9,"巔峰期",IF(A63&lt;=$B$10,"停滯期","衰退期")))</f>
        <v>上升期</v>
      </c>
      <c r="C63" s="8" t="n">
        <f aca="false">IF(B63="上升期",$B$11,IF(B63="巔峰期",$B$12,IF(B63="停滯期",$B$13,$B$14)))</f>
        <v>1.2</v>
      </c>
      <c r="D63" s="8" t="n">
        <f aca="false">$B$4*(($B$2-E62)/100)*C63*$B$5*$B$6*$B$7</f>
        <v>0.424052427311536</v>
      </c>
      <c r="E63" s="8" t="n">
        <f aca="false">MIN(E62+D63,$B$2)</f>
        <v>70.8216961149308</v>
      </c>
      <c r="F63" s="19" t="n">
        <f aca="false">E63/$B$2</f>
        <v>0.833196424881539</v>
      </c>
    </row>
    <row r="64" customFormat="false" ht="15" hidden="false" customHeight="true" outlineLevel="0" collapsed="false">
      <c r="A64" s="8" t="n">
        <v>47</v>
      </c>
      <c r="B64" s="8" t="str">
        <f aca="false">IF(A64&lt;=$B$8,"上升期",IF(A64&lt;=$B$9,"巔峰期",IF(A64&lt;=$B$10,"停滯期","衰退期")))</f>
        <v>上升期</v>
      </c>
      <c r="C64" s="8" t="n">
        <f aca="false">IF(B64="上升期",$B$11,IF(B64="巔峰期",$B$12,IF(B64="停滯期",$B$13,$B$14)))</f>
        <v>1.2</v>
      </c>
      <c r="D64" s="8" t="n">
        <f aca="false">$B$4*(($B$2-E63)/100)*C64*$B$5*$B$6*$B$7</f>
        <v>0.411737944822409</v>
      </c>
      <c r="E64" s="8" t="n">
        <f aca="false">MIN(E63+D64,$B$2)</f>
        <v>71.2334340597532</v>
      </c>
      <c r="F64" s="19" t="n">
        <f aca="false">E64/$B$2</f>
        <v>0.838040400702979</v>
      </c>
    </row>
    <row r="65" customFormat="false" ht="15" hidden="false" customHeight="true" outlineLevel="0" collapsed="false">
      <c r="A65" s="8" t="n">
        <v>48</v>
      </c>
      <c r="B65" s="8" t="str">
        <f aca="false">IF(A65&lt;=$B$8,"上升期",IF(A65&lt;=$B$9,"巔峰期",IF(A65&lt;=$B$10,"停滯期","衰退期")))</f>
        <v>上升期</v>
      </c>
      <c r="C65" s="8" t="n">
        <f aca="false">IF(B65="上升期",$B$11,IF(B65="巔峰期",$B$12,IF(B65="停滯期",$B$13,$B$14)))</f>
        <v>1.2</v>
      </c>
      <c r="D65" s="8" t="n">
        <f aca="false">$B$4*(($B$2-E64)/100)*C65*$B$5*$B$6*$B$7</f>
        <v>0.399781074904766</v>
      </c>
      <c r="E65" s="8" t="n">
        <f aca="false">MIN(E64+D65,$B$2)</f>
        <v>71.633215134658</v>
      </c>
      <c r="F65" s="19" t="n">
        <f aca="false">E65/$B$2</f>
        <v>0.842743707466565</v>
      </c>
    </row>
    <row r="66" customFormat="false" ht="15" hidden="false" customHeight="true" outlineLevel="0" collapsed="false">
      <c r="A66" s="8" t="n">
        <v>49</v>
      </c>
      <c r="B66" s="8" t="str">
        <f aca="false">IF(A66&lt;=$B$8,"上升期",IF(A66&lt;=$B$9,"巔峰期",IF(A66&lt;=$B$10,"停滯期","衰退期")))</f>
        <v>上升期</v>
      </c>
      <c r="C66" s="8" t="n">
        <f aca="false">IF(B66="上升期",$B$11,IF(B66="巔峰期",$B$12,IF(B66="停滯期",$B$13,$B$14)))</f>
        <v>1.2</v>
      </c>
      <c r="D66" s="8" t="n">
        <f aca="false">$B$4*(($B$2-E65)/100)*C66*$B$5*$B$6*$B$7</f>
        <v>0.388171432489532</v>
      </c>
      <c r="E66" s="8" t="n">
        <f aca="false">MIN(E65+D66,$B$2)</f>
        <v>72.0213865671475</v>
      </c>
      <c r="F66" s="19" t="n">
        <f aca="false">E66/$B$2</f>
        <v>0.847310430201736</v>
      </c>
    </row>
    <row r="67" customFormat="false" ht="15" hidden="false" customHeight="true" outlineLevel="0" collapsed="false">
      <c r="A67" s="8" t="n">
        <v>50</v>
      </c>
      <c r="B67" s="8" t="str">
        <f aca="false">IF(A67&lt;=$B$8,"上升期",IF(A67&lt;=$B$9,"巔峰期",IF(A67&lt;=$B$10,"停滯期","衰退期")))</f>
        <v>上升期</v>
      </c>
      <c r="C67" s="8" t="n">
        <f aca="false">IF(B67="上升期",$B$11,IF(B67="巔峰期",$B$12,IF(B67="停滯期",$B$13,$B$14)))</f>
        <v>1.2</v>
      </c>
      <c r="D67" s="8" t="n">
        <f aca="false">$B$4*(($B$2-E66)/100)*C67*$B$5*$B$6*$B$7</f>
        <v>0.376898934090036</v>
      </c>
      <c r="E67" s="8" t="n">
        <f aca="false">MIN(E66+D67,$B$2)</f>
        <v>72.3982855012376</v>
      </c>
      <c r="F67" s="19" t="n">
        <f aca="false">E67/$B$2</f>
        <v>0.851744535308677</v>
      </c>
    </row>
    <row r="68" customFormat="false" ht="15" hidden="false" customHeight="true" outlineLevel="0" collapsed="false">
      <c r="A68" s="8" t="n">
        <v>51</v>
      </c>
      <c r="B68" s="8" t="str">
        <f aca="false">IF(A68&lt;=$B$8,"上升期",IF(A68&lt;=$B$9,"巔峰期",IF(A68&lt;=$B$10,"停滯期","衰退期")))</f>
        <v>上升期</v>
      </c>
      <c r="C68" s="8" t="n">
        <f aca="false">IF(B68="上升期",$B$11,IF(B68="巔峰期",$B$12,IF(B68="停滯期",$B$13,$B$14)))</f>
        <v>1.2</v>
      </c>
      <c r="D68" s="8" t="n">
        <f aca="false">$B$4*(($B$2-E67)/100)*C68*$B$5*$B$6*$B$7</f>
        <v>0.365953789044061</v>
      </c>
      <c r="E68" s="8" t="n">
        <f aca="false">MIN(E67+D68,$B$2)</f>
        <v>72.7642392902816</v>
      </c>
      <c r="F68" s="19" t="n">
        <f aca="false">E68/$B$2</f>
        <v>0.856049874003313</v>
      </c>
    </row>
    <row r="69" customFormat="false" ht="15" hidden="false" customHeight="true" outlineLevel="0" collapsed="false">
      <c r="A69" s="8" t="n">
        <v>52</v>
      </c>
      <c r="B69" s="8" t="str">
        <f aca="false">IF(A69&lt;=$B$8,"上升期",IF(A69&lt;=$B$9,"巔峰期",IF(A69&lt;=$B$10,"停滯期","衰退期")))</f>
        <v>上升期</v>
      </c>
      <c r="C69" s="8" t="n">
        <f aca="false">IF(B69="上升期",$B$11,IF(B69="巔峰期",$B$12,IF(B69="停滯期",$B$13,$B$14)))</f>
        <v>1.2</v>
      </c>
      <c r="D69" s="8" t="n">
        <f aca="false">$B$4*(($B$2-E68)/100)*C69*$B$5*$B$6*$B$7</f>
        <v>0.355326491010222</v>
      </c>
      <c r="E69" s="8" t="n">
        <f aca="false">MIN(E68+D69,$B$2)</f>
        <v>73.1195657812918</v>
      </c>
      <c r="F69" s="19" t="n">
        <f aca="false">E69/$B$2</f>
        <v>0.860230185662257</v>
      </c>
    </row>
    <row r="70" customFormat="false" ht="15" hidden="false" customHeight="true" outlineLevel="0" collapsed="false">
      <c r="A70" s="8" t="n">
        <v>53</v>
      </c>
      <c r="B70" s="8" t="str">
        <f aca="false">IF(A70&lt;=$B$8,"上升期",IF(A70&lt;=$B$9,"巔峰期",IF(A70&lt;=$B$10,"停滯期","衰退期")))</f>
        <v>巔峰期</v>
      </c>
      <c r="C70" s="8" t="n">
        <f aca="false">IF(B70="上升期",$B$11,IF(B70="巔峰期",$B$12,IF(B70="停滯期",$B$13,$B$14)))</f>
        <v>1</v>
      </c>
      <c r="D70" s="8" t="n">
        <f aca="false">$B$4*(($B$2-E69)/100)*C70*$B$5*$B$6*$B$7</f>
        <v>0.287506508092738</v>
      </c>
      <c r="E70" s="8" t="n">
        <f aca="false">MIN(E69+D70,$B$2)</f>
        <v>73.4070722893846</v>
      </c>
      <c r="F70" s="19" t="n">
        <f aca="false">E70/$B$2</f>
        <v>0.86361261516923</v>
      </c>
    </row>
    <row r="71" customFormat="false" ht="15" hidden="false" customHeight="true" outlineLevel="0" collapsed="false">
      <c r="A71" s="8" t="n">
        <v>54</v>
      </c>
      <c r="B71" s="8" t="str">
        <f aca="false">IF(A71&lt;=$B$8,"上升期",IF(A71&lt;=$B$9,"巔峰期",IF(A71&lt;=$B$10,"停滯期","衰退期")))</f>
        <v>巔峰期</v>
      </c>
      <c r="C71" s="8" t="n">
        <f aca="false">IF(B71="上升期",$B$11,IF(B71="巔峰期",$B$12,IF(B71="停滯期",$B$13,$B$14)))</f>
        <v>1</v>
      </c>
      <c r="D71" s="8" t="n">
        <f aca="false">$B$4*(($B$2-E70)/100)*C71*$B$5*$B$6*$B$7</f>
        <v>0.280548850596893</v>
      </c>
      <c r="E71" s="8" t="n">
        <f aca="false">MIN(E70+D71,$B$2)</f>
        <v>73.6876211399815</v>
      </c>
      <c r="F71" s="19" t="n">
        <f aca="false">E71/$B$2</f>
        <v>0.866913189882135</v>
      </c>
    </row>
    <row r="72" customFormat="false" ht="15" hidden="false" customHeight="true" outlineLevel="0" collapsed="false">
      <c r="A72" s="8" t="n">
        <v>55</v>
      </c>
      <c r="B72" s="8" t="str">
        <f aca="false">IF(A72&lt;=$B$8,"上升期",IF(A72&lt;=$B$9,"巔峰期",IF(A72&lt;=$B$10,"停滯期","衰退期")))</f>
        <v>巔峰期</v>
      </c>
      <c r="C72" s="8" t="n">
        <f aca="false">IF(B72="上升期",$B$11,IF(B72="巔峰期",$B$12,IF(B72="停滯期",$B$13,$B$14)))</f>
        <v>1</v>
      </c>
      <c r="D72" s="8" t="n">
        <f aca="false">$B$4*(($B$2-E71)/100)*C72*$B$5*$B$6*$B$7</f>
        <v>0.273759568412449</v>
      </c>
      <c r="E72" s="8" t="n">
        <f aca="false">MIN(E71+D72,$B$2)</f>
        <v>73.9613807083939</v>
      </c>
      <c r="F72" s="19" t="n">
        <f aca="false">E72/$B$2</f>
        <v>0.870133890686987</v>
      </c>
    </row>
    <row r="73" customFormat="false" ht="15" hidden="false" customHeight="true" outlineLevel="0" collapsed="false">
      <c r="A73" s="8" t="n">
        <v>56</v>
      </c>
      <c r="B73" s="8" t="str">
        <f aca="false">IF(A73&lt;=$B$8,"上升期",IF(A73&lt;=$B$9,"巔峰期",IF(A73&lt;=$B$10,"停滯期","衰退期")))</f>
        <v>巔峰期</v>
      </c>
      <c r="C73" s="8" t="n">
        <f aca="false">IF(B73="上升期",$B$11,IF(B73="巔峰期",$B$12,IF(B73="停滯期",$B$13,$B$14)))</f>
        <v>1</v>
      </c>
      <c r="D73" s="8" t="n">
        <f aca="false">$B$4*(($B$2-E72)/100)*C73*$B$5*$B$6*$B$7</f>
        <v>0.267134586856868</v>
      </c>
      <c r="E73" s="8" t="n">
        <f aca="false">MIN(E72+D73,$B$2)</f>
        <v>74.2285152952508</v>
      </c>
      <c r="F73" s="19" t="n">
        <f aca="false">E73/$B$2</f>
        <v>0.873276650532362</v>
      </c>
    </row>
    <row r="74" customFormat="false" ht="15" hidden="false" customHeight="true" outlineLevel="0" collapsed="false">
      <c r="A74" s="8" t="n">
        <v>57</v>
      </c>
      <c r="B74" s="8" t="str">
        <f aca="false">IF(A74&lt;=$B$8,"上升期",IF(A74&lt;=$B$9,"巔峰期",IF(A74&lt;=$B$10,"停滯期","衰退期")))</f>
        <v>巔峰期</v>
      </c>
      <c r="C74" s="8" t="n">
        <f aca="false">IF(B74="上升期",$B$11,IF(B74="巔峰期",$B$12,IF(B74="停滯期",$B$13,$B$14)))</f>
        <v>1</v>
      </c>
      <c r="D74" s="8" t="n">
        <f aca="false">$B$4*(($B$2-E73)/100)*C74*$B$5*$B$6*$B$7</f>
        <v>0.260669929854931</v>
      </c>
      <c r="E74" s="8" t="n">
        <f aca="false">MIN(E73+D74,$B$2)</f>
        <v>74.4891852251057</v>
      </c>
      <c r="F74" s="19" t="n">
        <f aca="false">E74/$B$2</f>
        <v>0.876343355589479</v>
      </c>
    </row>
    <row r="75" customFormat="false" ht="15" hidden="false" customHeight="true" outlineLevel="0" collapsed="false">
      <c r="A75" s="8" t="n">
        <v>58</v>
      </c>
      <c r="B75" s="8" t="str">
        <f aca="false">IF(A75&lt;=$B$8,"上升期",IF(A75&lt;=$B$9,"巔峰期",IF(A75&lt;=$B$10,"停滯期","衰退期")))</f>
        <v>巔峰期</v>
      </c>
      <c r="C75" s="8" t="n">
        <f aca="false">IF(B75="上升期",$B$11,IF(B75="巔峰期",$B$12,IF(B75="停滯期",$B$13,$B$14)))</f>
        <v>1</v>
      </c>
      <c r="D75" s="8" t="n">
        <f aca="false">$B$4*(($B$2-E74)/100)*C75*$B$5*$B$6*$B$7</f>
        <v>0.254361717552442</v>
      </c>
      <c r="E75" s="8" t="n">
        <f aca="false">MIN(E74+D75,$B$2)</f>
        <v>74.7435469426581</v>
      </c>
      <c r="F75" s="19" t="n">
        <f aca="false">E75/$B$2</f>
        <v>0.879335846384214</v>
      </c>
    </row>
    <row r="76" customFormat="false" ht="15" hidden="false" customHeight="true" outlineLevel="0" collapsed="false">
      <c r="A76" s="8" t="n">
        <v>59</v>
      </c>
      <c r="B76" s="8" t="str">
        <f aca="false">IF(A76&lt;=$B$8,"上升期",IF(A76&lt;=$B$9,"巔峰期",IF(A76&lt;=$B$10,"停滯期","衰退期")))</f>
        <v>巔峰期</v>
      </c>
      <c r="C76" s="8" t="n">
        <f aca="false">IF(B76="上升期",$B$11,IF(B76="巔峰期",$B$12,IF(B76="停滯期",$B$13,$B$14)))</f>
        <v>1</v>
      </c>
      <c r="D76" s="8" t="n">
        <f aca="false">$B$4*(($B$2-E75)/100)*C76*$B$5*$B$6*$B$7</f>
        <v>0.248206163987673</v>
      </c>
      <c r="E76" s="8" t="n">
        <f aca="false">MIN(E75+D76,$B$2)</f>
        <v>74.9917531066458</v>
      </c>
      <c r="F76" s="19" t="n">
        <f aca="false">E76/$B$2</f>
        <v>0.882255918901716</v>
      </c>
    </row>
    <row r="77" customFormat="false" ht="15" hidden="false" customHeight="true" outlineLevel="0" collapsed="false">
      <c r="A77" s="8" t="n">
        <v>60</v>
      </c>
      <c r="B77" s="8" t="str">
        <f aca="false">IF(A77&lt;=$B$8,"上升期",IF(A77&lt;=$B$9,"巔峰期",IF(A77&lt;=$B$10,"停滯期","衰退期")))</f>
        <v>巔峰期</v>
      </c>
      <c r="C77" s="8" t="n">
        <f aca="false">IF(B77="上升期",$B$11,IF(B77="巔峰期",$B$12,IF(B77="停滯期",$B$13,$B$14)))</f>
        <v>1</v>
      </c>
      <c r="D77" s="8" t="n">
        <f aca="false">$B$4*(($B$2-E76)/100)*C77*$B$5*$B$6*$B$7</f>
        <v>0.242199574819171</v>
      </c>
      <c r="E77" s="8" t="n">
        <f aca="false">MIN(E76+D77,$B$2)</f>
        <v>75.233952681465</v>
      </c>
      <c r="F77" s="19" t="n">
        <f aca="false">E77/$B$2</f>
        <v>0.885105325664294</v>
      </c>
    </row>
    <row r="78" customFormat="false" ht="15" hidden="false" customHeight="true" outlineLevel="0" collapsed="false">
      <c r="A78" s="8" t="n">
        <v>61</v>
      </c>
      <c r="B78" s="8" t="str">
        <f aca="false">IF(A78&lt;=$B$8,"上升期",IF(A78&lt;=$B$9,"巔峰期",IF(A78&lt;=$B$10,"停滯期","衰退期")))</f>
        <v>巔峰期</v>
      </c>
      <c r="C78" s="8" t="n">
        <f aca="false">IF(B78="上升期",$B$11,IF(B78="巔峰期",$B$12,IF(B78="停滯期",$B$13,$B$14)))</f>
        <v>1</v>
      </c>
      <c r="D78" s="8" t="n">
        <f aca="false">$B$4*(($B$2-E77)/100)*C78*$B$5*$B$6*$B$7</f>
        <v>0.236338345108547</v>
      </c>
      <c r="E78" s="8" t="n">
        <f aca="false">MIN(E77+D78,$B$2)</f>
        <v>75.4702910265735</v>
      </c>
      <c r="F78" s="19" t="n">
        <f aca="false">E78/$B$2</f>
        <v>0.887885776783218</v>
      </c>
    </row>
    <row r="79" customFormat="false" ht="15" hidden="false" customHeight="true" outlineLevel="0" collapsed="false">
      <c r="A79" s="8" t="n">
        <v>62</v>
      </c>
      <c r="B79" s="8" t="str">
        <f aca="false">IF(A79&lt;=$B$8,"上升期",IF(A79&lt;=$B$9,"巔峰期",IF(A79&lt;=$B$10,"停滯期","衰退期")))</f>
        <v>巔峰期</v>
      </c>
      <c r="C79" s="8" t="n">
        <f aca="false">IF(B79="上升期",$B$11,IF(B79="巔峰期",$B$12,IF(B79="停滯期",$B$13,$B$14)))</f>
        <v>1</v>
      </c>
      <c r="D79" s="8" t="n">
        <f aca="false">$B$4*(($B$2-E78)/100)*C79*$B$5*$B$6*$B$7</f>
        <v>0.230618957156921</v>
      </c>
      <c r="E79" s="8" t="n">
        <f aca="false">MIN(E78+D79,$B$2)</f>
        <v>75.7009099837305</v>
      </c>
      <c r="F79" s="19" t="n">
        <f aca="false">E79/$B$2</f>
        <v>0.890598940985064</v>
      </c>
    </row>
    <row r="80" customFormat="false" ht="15" hidden="false" customHeight="true" outlineLevel="0" collapsed="false">
      <c r="A80" s="8" t="n">
        <v>63</v>
      </c>
      <c r="B80" s="8" t="str">
        <f aca="false">IF(A80&lt;=$B$8,"上升期",IF(A80&lt;=$B$9,"巔峰期",IF(A80&lt;=$B$10,"停滯期","衰退期")))</f>
        <v>巔峰期</v>
      </c>
      <c r="C80" s="8" t="n">
        <f aca="false">IF(B80="上升期",$B$11,IF(B80="巔峰期",$B$12,IF(B80="停滯期",$B$13,$B$14)))</f>
        <v>1</v>
      </c>
      <c r="D80" s="8" t="n">
        <f aca="false">$B$4*(($B$2-E79)/100)*C80*$B$5*$B$6*$B$7</f>
        <v>0.225037978393723</v>
      </c>
      <c r="E80" s="8" t="n">
        <f aca="false">MIN(E79+D80,$B$2)</f>
        <v>75.9259479621242</v>
      </c>
      <c r="F80" s="19" t="n">
        <f aca="false">E80/$B$2</f>
        <v>0.893246446613226</v>
      </c>
    </row>
    <row r="81" customFormat="false" ht="15" hidden="false" customHeight="true" outlineLevel="0" collapsed="false">
      <c r="A81" s="8" t="n">
        <v>64</v>
      </c>
      <c r="B81" s="8" t="str">
        <f aca="false">IF(A81&lt;=$B$8,"上升期",IF(A81&lt;=$B$9,"巔峰期",IF(A81&lt;=$B$10,"停滯期","衰退期")))</f>
        <v>巔峰期</v>
      </c>
      <c r="C81" s="8" t="n">
        <f aca="false">IF(B81="上升期",$B$11,IF(B81="巔峰期",$B$12,IF(B81="停滯期",$B$13,$B$14)))</f>
        <v>1</v>
      </c>
      <c r="D81" s="8" t="n">
        <f aca="false">$B$4*(($B$2-E80)/100)*C81*$B$5*$B$6*$B$7</f>
        <v>0.219592059316595</v>
      </c>
      <c r="E81" s="8" t="n">
        <f aca="false">MIN(E80+D81,$B$2)</f>
        <v>76.1455400214408</v>
      </c>
      <c r="F81" s="19" t="n">
        <f aca="false">E81/$B$2</f>
        <v>0.895829882605186</v>
      </c>
    </row>
    <row r="82" customFormat="false" ht="15" hidden="false" customHeight="true" outlineLevel="0" collapsed="false">
      <c r="A82" s="8" t="n">
        <v>65</v>
      </c>
      <c r="B82" s="8" t="str">
        <f aca="false">IF(A82&lt;=$B$8,"上升期",IF(A82&lt;=$B$9,"巔峰期",IF(A82&lt;=$B$10,"停滯期","衰退期")))</f>
        <v>巔峰期</v>
      </c>
      <c r="C82" s="8" t="n">
        <f aca="false">IF(B82="上升期",$B$11,IF(B82="巔峰期",$B$12,IF(B82="停滯期",$B$13,$B$14)))</f>
        <v>1</v>
      </c>
      <c r="D82" s="8" t="n">
        <f aca="false">$B$4*(($B$2-E81)/100)*C82*$B$5*$B$6*$B$7</f>
        <v>0.214277931481133</v>
      </c>
      <c r="E82" s="8" t="n">
        <f aca="false">MIN(E81+D82,$B$2)</f>
        <v>76.3598179529219</v>
      </c>
      <c r="F82" s="19" t="n">
        <f aca="false">E82/$B$2</f>
        <v>0.89835079944614</v>
      </c>
    </row>
    <row r="83" customFormat="false" ht="15" hidden="false" customHeight="true" outlineLevel="0" collapsed="false">
      <c r="A83" s="8" t="n">
        <v>66</v>
      </c>
      <c r="B83" s="8" t="str">
        <f aca="false">IF(A83&lt;=$B$8,"上升期",IF(A83&lt;=$B$9,"巔峰期",IF(A83&lt;=$B$10,"停滯期","衰退期")))</f>
        <v>巔峰期</v>
      </c>
      <c r="C83" s="8" t="n">
        <f aca="false">IF(B83="上升期",$B$11,IF(B83="巔峰期",$B$12,IF(B83="停滯期",$B$13,$B$14)))</f>
        <v>1</v>
      </c>
      <c r="D83" s="8" t="n">
        <f aca="false">$B$4*(($B$2-E82)/100)*C83*$B$5*$B$6*$B$7</f>
        <v>0.20909240553929</v>
      </c>
      <c r="E83" s="8" t="n">
        <f aca="false">MIN(E82+D83,$B$2)</f>
        <v>76.5689103584612</v>
      </c>
      <c r="F83" s="19" t="n">
        <f aca="false">E83/$B$2</f>
        <v>0.900810710099544</v>
      </c>
    </row>
    <row r="84" customFormat="false" ht="15" hidden="false" customHeight="true" outlineLevel="0" collapsed="false">
      <c r="A84" s="8" t="n">
        <v>67</v>
      </c>
      <c r="B84" s="8" t="str">
        <f aca="false">IF(A84&lt;=$B$8,"上升期",IF(A84&lt;=$B$9,"巔峰期",IF(A84&lt;=$B$10,"停滯期","衰退期")))</f>
        <v>巔峰期</v>
      </c>
      <c r="C84" s="8" t="n">
        <f aca="false">IF(B84="上升期",$B$11,IF(B84="巔峰期",$B$12,IF(B84="停滯期",$B$13,$B$14)))</f>
        <v>1</v>
      </c>
      <c r="D84" s="8" t="n">
        <f aca="false">$B$4*(($B$2-E83)/100)*C84*$B$5*$B$6*$B$7</f>
        <v>0.204032369325239</v>
      </c>
      <c r="E84" s="8" t="n">
        <f aca="false">MIN(E83+D84,$B$2)</f>
        <v>76.7729427277864</v>
      </c>
      <c r="F84" s="19" t="n">
        <f aca="false">E84/$B$2</f>
        <v>0.903211090915135</v>
      </c>
    </row>
    <row r="85" customFormat="false" ht="15" hidden="false" customHeight="true" outlineLevel="0" collapsed="false">
      <c r="A85" s="8" t="n">
        <v>68</v>
      </c>
      <c r="B85" s="8" t="str">
        <f aca="false">IF(A85&lt;=$B$8,"上升期",IF(A85&lt;=$B$9,"巔峰期",IF(A85&lt;=$B$10,"停滯期","衰退期")))</f>
        <v>巔峰期</v>
      </c>
      <c r="C85" s="8" t="n">
        <f aca="false">IF(B85="上升期",$B$11,IF(B85="巔峰期",$B$12,IF(B85="停滯期",$B$13,$B$14)))</f>
        <v>1</v>
      </c>
      <c r="D85" s="8" t="n">
        <f aca="false">$B$4*(($B$2-E84)/100)*C85*$B$5*$B$6*$B$7</f>
        <v>0.199094785987568</v>
      </c>
      <c r="E85" s="8" t="n">
        <f aca="false">MIN(E84+D85,$B$2)</f>
        <v>76.972037513774</v>
      </c>
      <c r="F85" s="19" t="n">
        <f aca="false">E85/$B$2</f>
        <v>0.905553382514988</v>
      </c>
    </row>
    <row r="86" customFormat="false" ht="15" hidden="false" customHeight="true" outlineLevel="0" collapsed="false">
      <c r="A86" s="8" t="n">
        <v>69</v>
      </c>
      <c r="B86" s="8" t="str">
        <f aca="false">IF(A86&lt;=$B$8,"上升期",IF(A86&lt;=$B$9,"巔峰期",IF(A86&lt;=$B$10,"停滯期","衰退期")))</f>
        <v>巔峰期</v>
      </c>
      <c r="C86" s="8" t="n">
        <f aca="false">IF(B86="上升期",$B$11,IF(B86="巔峰期",$B$12,IF(B86="停滯期",$B$13,$B$14)))</f>
        <v>1</v>
      </c>
      <c r="D86" s="8" t="n">
        <f aca="false">$B$4*(($B$2-E85)/100)*C86*$B$5*$B$6*$B$7</f>
        <v>0.194276692166669</v>
      </c>
      <c r="E86" s="8" t="n">
        <f aca="false">MIN(E85+D86,$B$2)</f>
        <v>77.1663142059407</v>
      </c>
      <c r="F86" s="19" t="n">
        <f aca="false">E86/$B$2</f>
        <v>0.907838990658126</v>
      </c>
    </row>
    <row r="87" customFormat="false" ht="15" hidden="false" customHeight="true" outlineLevel="0" collapsed="false">
      <c r="A87" s="8" t="n">
        <v>70</v>
      </c>
      <c r="B87" s="8" t="str">
        <f aca="false">IF(A87&lt;=$B$8,"上升期",IF(A87&lt;=$B$9,"巔峰期",IF(A87&lt;=$B$10,"停滯期","衰退期")))</f>
        <v>巔峰期</v>
      </c>
      <c r="C87" s="8" t="n">
        <f aca="false">IF(B87="上升期",$B$11,IF(B87="巔峰期",$B$12,IF(B87="停滯期",$B$13,$B$14)))</f>
        <v>1</v>
      </c>
      <c r="D87" s="8" t="n">
        <f aca="false">$B$4*(($B$2-E86)/100)*C87*$B$5*$B$6*$B$7</f>
        <v>0.189575196216236</v>
      </c>
      <c r="E87" s="8" t="n">
        <f aca="false">MIN(E86+D87,$B$2)</f>
        <v>77.3558894021569</v>
      </c>
      <c r="F87" s="19" t="n">
        <f aca="false">E87/$B$2</f>
        <v>0.910069287084199</v>
      </c>
    </row>
    <row r="88" customFormat="false" ht="15" hidden="false" customHeight="true" outlineLevel="0" collapsed="false">
      <c r="A88" s="8" t="n">
        <v>71</v>
      </c>
      <c r="B88" s="8" t="str">
        <f aca="false">IF(A88&lt;=$B$8,"上升期",IF(A88&lt;=$B$9,"巔峰期",IF(A88&lt;=$B$10,"停滯期","衰退期")))</f>
        <v>巔峰期</v>
      </c>
      <c r="C88" s="8" t="n">
        <f aca="false">IF(B88="上升期",$B$11,IF(B88="巔峰期",$B$12,IF(B88="停滯期",$B$13,$B$14)))</f>
        <v>1</v>
      </c>
      <c r="D88" s="8" t="n">
        <f aca="false">$B$4*(($B$2-E87)/100)*C88*$B$5*$B$6*$B$7</f>
        <v>0.184987476467803</v>
      </c>
      <c r="E88" s="8" t="n">
        <f aca="false">MIN(E87+D88,$B$2)</f>
        <v>77.5408768786247</v>
      </c>
      <c r="F88" s="19" t="n">
        <f aca="false">E88/$B$2</f>
        <v>0.912245610336761</v>
      </c>
    </row>
    <row r="89" customFormat="false" ht="15" hidden="false" customHeight="true" outlineLevel="0" collapsed="false">
      <c r="A89" s="8" t="n">
        <v>72</v>
      </c>
      <c r="B89" s="8" t="str">
        <f aca="false">IF(A89&lt;=$B$8,"上升期",IF(A89&lt;=$B$9,"巔峰期",IF(A89&lt;=$B$10,"停滯期","衰退期")))</f>
        <v>巔峰期</v>
      </c>
      <c r="C89" s="8" t="n">
        <f aca="false">IF(B89="上升期",$B$11,IF(B89="巔峰期",$B$12,IF(B89="停滯期",$B$13,$B$14)))</f>
        <v>1</v>
      </c>
      <c r="D89" s="8" t="n">
        <f aca="false">$B$4*(($B$2-E88)/100)*C89*$B$5*$B$6*$B$7</f>
        <v>0.180510779537282</v>
      </c>
      <c r="E89" s="8" t="n">
        <f aca="false">MIN(E88+D89,$B$2)</f>
        <v>77.721387658162</v>
      </c>
      <c r="F89" s="19" t="n">
        <f aca="false">E89/$B$2</f>
        <v>0.914369266566612</v>
      </c>
    </row>
    <row r="90" customFormat="false" ht="15" hidden="false" customHeight="true" outlineLevel="0" collapsed="false">
      <c r="A90" s="8" t="n">
        <v>73</v>
      </c>
      <c r="B90" s="8" t="str">
        <f aca="false">IF(A90&lt;=$B$8,"上升期",IF(A90&lt;=$B$9,"巔峰期",IF(A90&lt;=$B$10,"停滯期","衰退期")))</f>
        <v>巔峰期</v>
      </c>
      <c r="C90" s="8" t="n">
        <f aca="false">IF(B90="上升期",$B$11,IF(B90="巔峰期",$B$12,IF(B90="停滯期",$B$13,$B$14)))</f>
        <v>1</v>
      </c>
      <c r="D90" s="8" t="n">
        <f aca="false">$B$4*(($B$2-E89)/100)*C90*$B$5*$B$6*$B$7</f>
        <v>0.17614241867248</v>
      </c>
      <c r="E90" s="8" t="n">
        <f aca="false">MIN(E89+D90,$B$2)</f>
        <v>77.8975300768345</v>
      </c>
      <c r="F90" s="19" t="n">
        <f aca="false">E90/$B$2</f>
        <v>0.9164415303157</v>
      </c>
    </row>
    <row r="91" customFormat="false" ht="15" hidden="false" customHeight="true" outlineLevel="0" collapsed="false">
      <c r="A91" s="8" t="n">
        <v>74</v>
      </c>
      <c r="B91" s="8" t="str">
        <f aca="false">IF(A91&lt;=$B$8,"上升期",IF(A91&lt;=$B$9,"巔峰期",IF(A91&lt;=$B$10,"停滯期","衰退期")))</f>
        <v>巔峰期</v>
      </c>
      <c r="C91" s="8" t="n">
        <f aca="false">IF(B91="上升期",$B$11,IF(B91="巔峰期",$B$12,IF(B91="停滯期",$B$13,$B$14)))</f>
        <v>1</v>
      </c>
      <c r="D91" s="8" t="n">
        <f aca="false">$B$4*(($B$2-E90)/100)*C91*$B$5*$B$6*$B$7</f>
        <v>0.171879772140605</v>
      </c>
      <c r="E91" s="8" t="n">
        <f aca="false">MIN(E90+D91,$B$2)</f>
        <v>78.0694098489751</v>
      </c>
      <c r="F91" s="19" t="n">
        <f aca="false">E91/$B$2</f>
        <v>0.91846364528206</v>
      </c>
    </row>
    <row r="92" customFormat="false" ht="15" hidden="false" customHeight="true" outlineLevel="0" collapsed="false">
      <c r="A92" s="8" t="n">
        <v>75</v>
      </c>
      <c r="B92" s="8" t="str">
        <f aca="false">IF(A92&lt;=$B$8,"上升期",IF(A92&lt;=$B$9,"巔峰期",IF(A92&lt;=$B$10,"停滯期","衰退期")))</f>
        <v>巔峰期</v>
      </c>
      <c r="C92" s="8" t="n">
        <f aca="false">IF(B92="上升期",$B$11,IF(B92="巔峰期",$B$12,IF(B92="停滯期",$B$13,$B$14)))</f>
        <v>1</v>
      </c>
      <c r="D92" s="8" t="n">
        <f aca="false">$B$4*(($B$2-E91)/100)*C92*$B$5*$B$6*$B$7</f>
        <v>0.167720281654803</v>
      </c>
      <c r="E92" s="8" t="n">
        <f aca="false">MIN(E91+D92,$B$2)</f>
        <v>78.2371301306299</v>
      </c>
      <c r="F92" s="19" t="n">
        <f aca="false">E92/$B$2</f>
        <v>0.920436825066234</v>
      </c>
    </row>
    <row r="93" customFormat="false" ht="15" hidden="false" customHeight="true" outlineLevel="0" collapsed="false">
      <c r="A93" s="8" t="n">
        <v>76</v>
      </c>
      <c r="B93" s="8" t="str">
        <f aca="false">IF(A93&lt;=$B$8,"上升期",IF(A93&lt;=$B$9,"巔峰期",IF(A93&lt;=$B$10,"停滯期","衰退期")))</f>
        <v>巔峰期</v>
      </c>
      <c r="C93" s="8" t="n">
        <f aca="false">IF(B93="上升期",$B$11,IF(B93="巔峰期",$B$12,IF(B93="停滯期",$B$13,$B$14)))</f>
        <v>1</v>
      </c>
      <c r="D93" s="8" t="n">
        <f aca="false">$B$4*(($B$2-E92)/100)*C93*$B$5*$B$6*$B$7</f>
        <v>0.163661450838757</v>
      </c>
      <c r="E93" s="8" t="n">
        <f aca="false">MIN(E92+D93,$B$2)</f>
        <v>78.4007915814687</v>
      </c>
      <c r="F93" s="19" t="n">
        <f aca="false">E93/$B$2</f>
        <v>0.922362253899631</v>
      </c>
    </row>
    <row r="94" customFormat="false" ht="15" hidden="false" customHeight="true" outlineLevel="0" collapsed="false">
      <c r="A94" s="8" t="n">
        <v>77</v>
      </c>
      <c r="B94" s="8" t="str">
        <f aca="false">IF(A94&lt;=$B$8,"上升期",IF(A94&lt;=$B$9,"巔峰期",IF(A94&lt;=$B$10,"停滯期","衰退期")))</f>
        <v>巔峰期</v>
      </c>
      <c r="C94" s="8" t="n">
        <f aca="false">IF(B94="上升期",$B$11,IF(B94="巔峰期",$B$12,IF(B94="停滯期",$B$13,$B$14)))</f>
        <v>1</v>
      </c>
      <c r="D94" s="8" t="n">
        <f aca="false">$B$4*(($B$2-E93)/100)*C94*$B$5*$B$6*$B$7</f>
        <v>0.159700843728459</v>
      </c>
      <c r="E94" s="8" t="n">
        <f aca="false">MIN(E93+D94,$B$2)</f>
        <v>78.5604924251971</v>
      </c>
      <c r="F94" s="19" t="n">
        <f aca="false">E94/$B$2</f>
        <v>0.92424108735526</v>
      </c>
    </row>
    <row r="95" customFormat="false" ht="15" hidden="false" customHeight="true" outlineLevel="0" collapsed="false">
      <c r="A95" s="8" t="n">
        <v>78</v>
      </c>
      <c r="B95" s="8" t="str">
        <f aca="false">IF(A95&lt;=$B$8,"上升期",IF(A95&lt;=$B$9,"巔峰期",IF(A95&lt;=$B$10,"停滯期","衰退期")))</f>
        <v>巔峰期</v>
      </c>
      <c r="C95" s="8" t="n">
        <f aca="false">IF(B95="上升期",$B$11,IF(B95="巔峰期",$B$12,IF(B95="停滯期",$B$13,$B$14)))</f>
        <v>1</v>
      </c>
      <c r="D95" s="8" t="n">
        <f aca="false">$B$4*(($B$2-E94)/100)*C95*$B$5*$B$6*$B$7</f>
        <v>0.15583608331023</v>
      </c>
      <c r="E95" s="8" t="n">
        <f aca="false">MIN(E94+D95,$B$2)</f>
        <v>78.7163285085074</v>
      </c>
      <c r="F95" s="19" t="n">
        <f aca="false">E95/$B$2</f>
        <v>0.926074453041263</v>
      </c>
    </row>
    <row r="96" customFormat="false" ht="15" hidden="false" customHeight="true" outlineLevel="0" collapsed="false">
      <c r="A96" s="8" t="n">
        <v>79</v>
      </c>
      <c r="B96" s="8" t="str">
        <f aca="false">IF(A96&lt;=$B$8,"上升期",IF(A96&lt;=$B$9,"巔峰期",IF(A96&lt;=$B$10,"停滯期","衰退期")))</f>
        <v>巔峰期</v>
      </c>
      <c r="C96" s="8" t="n">
        <f aca="false">IF(B96="上升期",$B$11,IF(B96="巔峰期",$B$12,IF(B96="停滯期",$B$13,$B$14)))</f>
        <v>1</v>
      </c>
      <c r="D96" s="8" t="n">
        <f aca="false">$B$4*(($B$2-E95)/100)*C96*$B$5*$B$6*$B$7</f>
        <v>0.152064850094122</v>
      </c>
      <c r="E96" s="8" t="n">
        <f aca="false">MIN(E95+D96,$B$2)</f>
        <v>78.8683933586015</v>
      </c>
      <c r="F96" s="19" t="n">
        <f aca="false">E96/$B$2</f>
        <v>0.927863451277664</v>
      </c>
    </row>
    <row r="97" customFormat="false" ht="15" hidden="false" customHeight="true" outlineLevel="0" collapsed="false">
      <c r="A97" s="8" t="n">
        <v>80</v>
      </c>
      <c r="B97" s="8" t="str">
        <f aca="false">IF(A97&lt;=$B$8,"上升期",IF(A97&lt;=$B$9,"巔峰期",IF(A97&lt;=$B$10,"停滯期","衰退期")))</f>
        <v>巔峰期</v>
      </c>
      <c r="C97" s="8" t="n">
        <f aca="false">IF(B97="上升期",$B$11,IF(B97="巔峰期",$B$12,IF(B97="停滯期",$B$13,$B$14)))</f>
        <v>1</v>
      </c>
      <c r="D97" s="8" t="n">
        <f aca="false">$B$4*(($B$2-E96)/100)*C97*$B$5*$B$6*$B$7</f>
        <v>0.148384880721845</v>
      </c>
      <c r="E97" s="8" t="n">
        <f aca="false">MIN(E96+D97,$B$2)</f>
        <v>79.0167782393233</v>
      </c>
      <c r="F97" s="19" t="n">
        <f aca="false">E97/$B$2</f>
        <v>0.929609155756745</v>
      </c>
    </row>
    <row r="98" customFormat="false" ht="15" hidden="false" customHeight="true" outlineLevel="0" collapsed="false">
      <c r="A98" s="8" t="n">
        <v>81</v>
      </c>
      <c r="B98" s="8" t="str">
        <f aca="false">IF(A98&lt;=$B$8,"上升期",IF(A98&lt;=$B$9,"巔峰期",IF(A98&lt;=$B$10,"停滯期","衰退期")))</f>
        <v>巔峰期</v>
      </c>
      <c r="C98" s="8" t="n">
        <f aca="false">IF(B98="上升期",$B$11,IF(B98="巔峰期",$B$12,IF(B98="停滯期",$B$13,$B$14)))</f>
        <v>1</v>
      </c>
      <c r="D98" s="8" t="n">
        <f aca="false">$B$4*(($B$2-E97)/100)*C98*$B$5*$B$6*$B$7</f>
        <v>0.144793966608376</v>
      </c>
      <c r="E98" s="8" t="n">
        <f aca="false">MIN(E97+D98,$B$2)</f>
        <v>79.1615722059317</v>
      </c>
      <c r="F98" s="19" t="n">
        <f aca="false">E98/$B$2</f>
        <v>0.931312614187432</v>
      </c>
    </row>
    <row r="99" customFormat="false" ht="15" hidden="false" customHeight="true" outlineLevel="0" collapsed="false">
      <c r="A99" s="8" t="n">
        <v>82</v>
      </c>
      <c r="B99" s="8" t="str">
        <f aca="false">IF(A99&lt;=$B$8,"上升期",IF(A99&lt;=$B$9,"巔峰期",IF(A99&lt;=$B$10,"停滯期","衰退期")))</f>
        <v>巔峰期</v>
      </c>
      <c r="C99" s="8" t="n">
        <f aca="false">IF(B99="上升期",$B$11,IF(B99="巔峰期",$B$12,IF(B99="停滯期",$B$13,$B$14)))</f>
        <v>1</v>
      </c>
      <c r="D99" s="8" t="n">
        <f aca="false">$B$4*(($B$2-E98)/100)*C99*$B$5*$B$6*$B$7</f>
        <v>0.141289952616453</v>
      </c>
      <c r="E99" s="8" t="n">
        <f aca="false">MIN(E98+D99,$B$2)</f>
        <v>79.3028621585481</v>
      </c>
      <c r="F99" s="19" t="n">
        <f aca="false">E99/$B$2</f>
        <v>0.932974848924096</v>
      </c>
    </row>
    <row r="100" customFormat="false" ht="15" hidden="false" customHeight="true" outlineLevel="0" collapsed="false">
      <c r="A100" s="8" t="n">
        <v>83</v>
      </c>
      <c r="B100" s="8" t="str">
        <f aca="false">IF(A100&lt;=$B$8,"上升期",IF(A100&lt;=$B$9,"巔峰期",IF(A100&lt;=$B$10,"停滯期","衰退期")))</f>
        <v>巔峰期</v>
      </c>
      <c r="C100" s="8" t="n">
        <f aca="false">IF(B100="上升期",$B$11,IF(B100="巔峰期",$B$12,IF(B100="停滯期",$B$13,$B$14)))</f>
        <v>1</v>
      </c>
      <c r="D100" s="8" t="n">
        <f aca="false">$B$4*(($B$2-E99)/100)*C100*$B$5*$B$6*$B$7</f>
        <v>0.137870735763135</v>
      </c>
      <c r="E100" s="8" t="n">
        <f aca="false">MIN(E99+D100,$B$2)</f>
        <v>79.4407328943113</v>
      </c>
      <c r="F100" s="19" t="n">
        <f aca="false">E100/$B$2</f>
        <v>0.934596857580133</v>
      </c>
    </row>
    <row r="101" customFormat="false" ht="15" hidden="false" customHeight="true" outlineLevel="0" collapsed="false">
      <c r="A101" s="8" t="n">
        <v>84</v>
      </c>
      <c r="B101" s="8" t="str">
        <f aca="false">IF(A101&lt;=$B$8,"上升期",IF(A101&lt;=$B$9,"巔峰期",IF(A101&lt;=$B$10,"停滯期","衰退期")))</f>
        <v>巔峰期</v>
      </c>
      <c r="C101" s="8" t="n">
        <f aca="false">IF(B101="上升期",$B$11,IF(B101="巔峰期",$B$12,IF(B101="停滯期",$B$13,$B$14)))</f>
        <v>1</v>
      </c>
      <c r="D101" s="8" t="n">
        <f aca="false">$B$4*(($B$2-E100)/100)*C101*$B$5*$B$6*$B$7</f>
        <v>0.134534263957667</v>
      </c>
      <c r="E101" s="8" t="n">
        <f aca="false">MIN(E100+D101,$B$2)</f>
        <v>79.5752671582689</v>
      </c>
      <c r="F101" s="19" t="n">
        <f aca="false">E101/$B$2</f>
        <v>0.936179613626693</v>
      </c>
    </row>
    <row r="102" customFormat="false" ht="15" hidden="false" customHeight="true" outlineLevel="0" collapsed="false">
      <c r="A102" s="8" t="n">
        <v>85</v>
      </c>
      <c r="B102" s="8" t="str">
        <f aca="false">IF(A102&lt;=$B$8,"上升期",IF(A102&lt;=$B$9,"巔峰期",IF(A102&lt;=$B$10,"停滯期","衰退期")))</f>
        <v>巔峰期</v>
      </c>
      <c r="C102" s="8" t="n">
        <f aca="false">IF(B102="上升期",$B$11,IF(B102="巔峰期",$B$12,IF(B102="停滯期",$B$13,$B$14)))</f>
        <v>1</v>
      </c>
      <c r="D102" s="8" t="n">
        <f aca="false">$B$4*(($B$2-E101)/100)*C102*$B$5*$B$6*$B$7</f>
        <v>0.131278534769892</v>
      </c>
      <c r="E102" s="8" t="n">
        <f aca="false">MIN(E101+D102,$B$2)</f>
        <v>79.7065456930388</v>
      </c>
      <c r="F102" s="19" t="n">
        <f aca="false">E102/$B$2</f>
        <v>0.937724066976927</v>
      </c>
    </row>
    <row r="103" customFormat="false" ht="15" hidden="false" customHeight="true" outlineLevel="0" collapsed="false">
      <c r="A103" s="8" t="n">
        <v>86</v>
      </c>
      <c r="B103" s="8" t="str">
        <f aca="false">IF(A103&lt;=$B$8,"上升期",IF(A103&lt;=$B$9,"巔峰期",IF(A103&lt;=$B$10,"停滯期","衰退期")))</f>
        <v>巔峰期</v>
      </c>
      <c r="C103" s="8" t="n">
        <f aca="false">IF(B103="上升期",$B$11,IF(B103="巔峰期",$B$12,IF(B103="停滯期",$B$13,$B$14)))</f>
        <v>1</v>
      </c>
      <c r="D103" s="8" t="n">
        <f aca="false">$B$4*(($B$2-E102)/100)*C103*$B$5*$B$6*$B$7</f>
        <v>0.128101594228461</v>
      </c>
      <c r="E103" s="8" t="n">
        <f aca="false">MIN(E102+D103,$B$2)</f>
        <v>79.8346472872673</v>
      </c>
      <c r="F103" s="19" t="n">
        <f aca="false">E103/$B$2</f>
        <v>0.939231144556086</v>
      </c>
    </row>
    <row r="104" customFormat="false" ht="15" hidden="false" customHeight="true" outlineLevel="0" collapsed="false">
      <c r="A104" s="8" t="n">
        <v>87</v>
      </c>
      <c r="B104" s="8" t="str">
        <f aca="false">IF(A104&lt;=$B$8,"上升期",IF(A104&lt;=$B$9,"巔峰期",IF(A104&lt;=$B$10,"停滯期","衰退期")))</f>
        <v>巔峰期</v>
      </c>
      <c r="C104" s="8" t="n">
        <f aca="false">IF(B104="上升期",$B$11,IF(B104="巔峰期",$B$12,IF(B104="停滯期",$B$13,$B$14)))</f>
        <v>1</v>
      </c>
      <c r="D104" s="8" t="n">
        <f aca="false">$B$4*(($B$2-E103)/100)*C104*$B$5*$B$6*$B$7</f>
        <v>0.125001535648132</v>
      </c>
      <c r="E104" s="8" t="n">
        <f aca="false">MIN(E103+D104,$B$2)</f>
        <v>79.9596488229154</v>
      </c>
      <c r="F104" s="19" t="n">
        <f aca="false">E104/$B$2</f>
        <v>0.940701750857828</v>
      </c>
    </row>
    <row r="105" customFormat="false" ht="15" hidden="false" customHeight="true" outlineLevel="0" collapsed="false">
      <c r="A105" s="8" t="n">
        <v>88</v>
      </c>
      <c r="B105" s="8" t="str">
        <f aca="false">IF(A105&lt;=$B$8,"上升期",IF(A105&lt;=$B$9,"巔峰期",IF(A105&lt;=$B$10,"停滯期","衰退期")))</f>
        <v>巔峰期</v>
      </c>
      <c r="C105" s="8" t="n">
        <f aca="false">IF(B105="上升期",$B$11,IF(B105="巔峰期",$B$12,IF(B105="停滯期",$B$13,$B$14)))</f>
        <v>1</v>
      </c>
      <c r="D105" s="8" t="n">
        <f aca="false">$B$4*(($B$2-E104)/100)*C105*$B$5*$B$6*$B$7</f>
        <v>0.121976498485447</v>
      </c>
      <c r="E105" s="8" t="n">
        <f aca="false">MIN(E104+D105,$B$2)</f>
        <v>80.0816253214009</v>
      </c>
      <c r="F105" s="19" t="n">
        <f aca="false">E105/$B$2</f>
        <v>0.942136768487069</v>
      </c>
    </row>
    <row r="106" customFormat="false" ht="15" hidden="false" customHeight="true" outlineLevel="0" collapsed="false">
      <c r="A106" s="8" t="n">
        <v>89</v>
      </c>
      <c r="B106" s="8" t="str">
        <f aca="false">IF(A106&lt;=$B$8,"上升期",IF(A106&lt;=$B$9,"巔峰期",IF(A106&lt;=$B$10,"停滯期","衰退期")))</f>
        <v>巔峰期</v>
      </c>
      <c r="C106" s="8" t="n">
        <f aca="false">IF(B106="上升期",$B$11,IF(B106="巔峰期",$B$12,IF(B106="停滯期",$B$13,$B$14)))</f>
        <v>1</v>
      </c>
      <c r="D106" s="8" t="n">
        <f aca="false">$B$4*(($B$2-E105)/100)*C106*$B$5*$B$6*$B$7</f>
        <v>0.119024667222099</v>
      </c>
      <c r="E106" s="8" t="n">
        <f aca="false">MIN(E105+D106,$B$2)</f>
        <v>80.200649988623</v>
      </c>
      <c r="F106" s="19" t="n">
        <f aca="false">E106/$B$2</f>
        <v>0.943537058689682</v>
      </c>
    </row>
    <row r="107" customFormat="false" ht="15" hidden="false" customHeight="true" outlineLevel="0" collapsed="false">
      <c r="A107" s="8" t="n">
        <v>90</v>
      </c>
      <c r="B107" s="8" t="str">
        <f aca="false">IF(A107&lt;=$B$8,"上升期",IF(A107&lt;=$B$9,"巔峰期",IF(A107&lt;=$B$10,"停滯期","衰退期")))</f>
        <v>巔峰期</v>
      </c>
      <c r="C107" s="8" t="n">
        <f aca="false">IF(B107="上升期",$B$11,IF(B107="巔峰期",$B$12,IF(B107="停滯期",$B$13,$B$14)))</f>
        <v>1</v>
      </c>
      <c r="D107" s="8" t="n">
        <f aca="false">$B$4*(($B$2-E106)/100)*C107*$B$5*$B$6*$B$7</f>
        <v>0.116144270275324</v>
      </c>
      <c r="E107" s="8" t="n">
        <f aca="false">MIN(E106+D107,$B$2)</f>
        <v>80.3167942588983</v>
      </c>
      <c r="F107" s="19" t="n">
        <f aca="false">E107/$B$2</f>
        <v>0.944903461869392</v>
      </c>
    </row>
    <row r="108" customFormat="false" ht="15" hidden="false" customHeight="true" outlineLevel="0" collapsed="false">
      <c r="A108" s="8" t="n">
        <v>91</v>
      </c>
      <c r="B108" s="8" t="str">
        <f aca="false">IF(A108&lt;=$B$8,"上升期",IF(A108&lt;=$B$9,"巔峰期",IF(A108&lt;=$B$10,"停滯期","衰退期")))</f>
        <v>巔峰期</v>
      </c>
      <c r="C108" s="8" t="n">
        <f aca="false">IF(B108="上升期",$B$11,IF(B108="巔峰期",$B$12,IF(B108="停滯期",$B$13,$B$14)))</f>
        <v>1</v>
      </c>
      <c r="D108" s="8" t="n">
        <f aca="false">$B$4*(($B$2-E107)/100)*C108*$B$5*$B$6*$B$7</f>
        <v>0.113333578934662</v>
      </c>
      <c r="E108" s="8" t="n">
        <f aca="false">MIN(E107+D108,$B$2)</f>
        <v>80.4301278378329</v>
      </c>
      <c r="F108" s="19" t="n">
        <f aca="false">E108/$B$2</f>
        <v>0.946236798092152</v>
      </c>
    </row>
    <row r="109" customFormat="false" ht="15" hidden="false" customHeight="true" outlineLevel="0" collapsed="false">
      <c r="A109" s="8" t="n">
        <v>92</v>
      </c>
      <c r="B109" s="8" t="str">
        <f aca="false">IF(A109&lt;=$B$8,"上升期",IF(A109&lt;=$B$9,"巔峰期",IF(A109&lt;=$B$10,"停滯期","衰退期")))</f>
        <v>巔峰期</v>
      </c>
      <c r="C109" s="8" t="n">
        <f aca="false">IF(B109="上升期",$B$11,IF(B109="巔峰期",$B$12,IF(B109="停滯期",$B$13,$B$14)))</f>
        <v>1</v>
      </c>
      <c r="D109" s="8" t="n">
        <f aca="false">$B$4*(($B$2-E108)/100)*C109*$B$5*$B$6*$B$7</f>
        <v>0.110590906324443</v>
      </c>
      <c r="E109" s="8" t="n">
        <f aca="false">MIN(E108+D109,$B$2)</f>
        <v>80.5407187441574</v>
      </c>
      <c r="F109" s="19" t="n">
        <f aca="false">E109/$B$2</f>
        <v>0.947537867578322</v>
      </c>
    </row>
    <row r="110" customFormat="false" ht="15" hidden="false" customHeight="true" outlineLevel="0" collapsed="false">
      <c r="A110" s="8" t="n">
        <v>93</v>
      </c>
      <c r="B110" s="8" t="str">
        <f aca="false">IF(A110&lt;=$B$8,"上升期",IF(A110&lt;=$B$9,"巔峰期",IF(A110&lt;=$B$10,"停滯期","衰退期")))</f>
        <v>巔峰期</v>
      </c>
      <c r="C110" s="8" t="n">
        <f aca="false">IF(B110="上升期",$B$11,IF(B110="巔峰期",$B$12,IF(B110="停滯期",$B$13,$B$14)))</f>
        <v>1</v>
      </c>
      <c r="D110" s="8" t="n">
        <f aca="false">$B$4*(($B$2-E109)/100)*C110*$B$5*$B$6*$B$7</f>
        <v>0.107914606391391</v>
      </c>
      <c r="E110" s="8" t="n">
        <f aca="false">MIN(E109+D110,$B$2)</f>
        <v>80.6486333505488</v>
      </c>
      <c r="F110" s="19" t="n">
        <f aca="false">E110/$B$2</f>
        <v>0.948807451182927</v>
      </c>
    </row>
    <row r="111" customFormat="false" ht="15" hidden="false" customHeight="true" outlineLevel="0" collapsed="false">
      <c r="A111" s="8" t="n">
        <v>94</v>
      </c>
      <c r="B111" s="8" t="str">
        <f aca="false">IF(A111&lt;=$B$8,"上升期",IF(A111&lt;=$B$9,"巔峰期",IF(A111&lt;=$B$10,"停滯期","衰退期")))</f>
        <v>巔峰期</v>
      </c>
      <c r="C111" s="8" t="n">
        <f aca="false">IF(B111="上升期",$B$11,IF(B111="巔峰期",$B$12,IF(B111="停滯期",$B$13,$B$14)))</f>
        <v>1</v>
      </c>
      <c r="D111" s="8" t="n">
        <f aca="false">$B$4*(($B$2-E110)/100)*C111*$B$5*$B$6*$B$7</f>
        <v>0.10530307291672</v>
      </c>
      <c r="E111" s="8" t="n">
        <f aca="false">MIN(E110+D111,$B$2)</f>
        <v>80.7539364234655</v>
      </c>
      <c r="F111" s="19" t="n">
        <f aca="false">E111/$B$2</f>
        <v>0.9500463108643</v>
      </c>
    </row>
    <row r="112" customFormat="false" ht="15" hidden="false" customHeight="true" outlineLevel="0" collapsed="false">
      <c r="A112" s="8" t="n">
        <v>95</v>
      </c>
      <c r="B112" s="8" t="str">
        <f aca="false">IF(A112&lt;=$B$8,"上升期",IF(A112&lt;=$B$9,"巔峰期",IF(A112&lt;=$B$10,"停滯期","衰退期")))</f>
        <v>巔峰期</v>
      </c>
      <c r="C112" s="8" t="n">
        <f aca="false">IF(B112="上升期",$B$11,IF(B112="巔峰期",$B$12,IF(B112="停滯期",$B$13,$B$14)))</f>
        <v>1</v>
      </c>
      <c r="D112" s="8" t="n">
        <f aca="false">$B$4*(($B$2-E111)/100)*C112*$B$5*$B$6*$B$7</f>
        <v>0.102754738552135</v>
      </c>
      <c r="E112" s="8" t="n">
        <f aca="false">MIN(E111+D112,$B$2)</f>
        <v>80.8566911620176</v>
      </c>
      <c r="F112" s="19" t="n">
        <f aca="false">E112/$B$2</f>
        <v>0.951255190141384</v>
      </c>
    </row>
    <row r="113" customFormat="false" ht="15" hidden="false" customHeight="true" outlineLevel="0" collapsed="false">
      <c r="A113" s="8" t="n">
        <v>96</v>
      </c>
      <c r="B113" s="8" t="str">
        <f aca="false">IF(A113&lt;=$B$8,"上升期",IF(A113&lt;=$B$9,"巔峰期",IF(A113&lt;=$B$10,"停滯期","衰退期")))</f>
        <v>巔峰期</v>
      </c>
      <c r="C113" s="8" t="n">
        <f aca="false">IF(B113="上升期",$B$11,IF(B113="巔峰期",$B$12,IF(B113="停滯期",$B$13,$B$14)))</f>
        <v>1</v>
      </c>
      <c r="D113" s="8" t="n">
        <f aca="false">$B$4*(($B$2-E112)/100)*C113*$B$5*$B$6*$B$7</f>
        <v>0.100268073879173</v>
      </c>
      <c r="E113" s="8" t="n">
        <f aca="false">MIN(E112+D113,$B$2)</f>
        <v>80.9569592358968</v>
      </c>
      <c r="F113" s="19" t="n">
        <f aca="false">E113/$B$2</f>
        <v>0.952434814539963</v>
      </c>
    </row>
    <row r="114" customFormat="false" ht="15" hidden="false" customHeight="true" outlineLevel="0" collapsed="false">
      <c r="A114" s="8" t="n">
        <v>97</v>
      </c>
      <c r="B114" s="8" t="str">
        <f aca="false">IF(A114&lt;=$B$8,"上升期",IF(A114&lt;=$B$9,"巔峰期",IF(A114&lt;=$B$10,"停滯期","衰退期")))</f>
        <v>巔峰期</v>
      </c>
      <c r="C114" s="8" t="n">
        <f aca="false">IF(B114="上升期",$B$11,IF(B114="巔峰期",$B$12,IF(B114="停滯期",$B$13,$B$14)))</f>
        <v>1</v>
      </c>
      <c r="D114" s="8" t="n">
        <f aca="false">$B$4*(($B$2-E113)/100)*C114*$B$5*$B$6*$B$7</f>
        <v>0.097841586491297</v>
      </c>
      <c r="E114" s="8" t="n">
        <f aca="false">MIN(E113+D114,$B$2)</f>
        <v>81.0548008223881</v>
      </c>
      <c r="F114" s="19" t="n">
        <f aca="false">E114/$B$2</f>
        <v>0.953585892028096</v>
      </c>
    </row>
    <row r="115" customFormat="false" ht="15" hidden="false" customHeight="true" outlineLevel="0" collapsed="false">
      <c r="A115" s="8" t="n">
        <v>98</v>
      </c>
      <c r="B115" s="8" t="str">
        <f aca="false">IF(A115&lt;=$B$8,"上升期",IF(A115&lt;=$B$9,"巔峰期",IF(A115&lt;=$B$10,"停滯期","衰退期")))</f>
        <v>巔峰期</v>
      </c>
      <c r="C115" s="8" t="n">
        <f aca="false">IF(B115="上升期",$B$11,IF(B115="巔峰期",$B$12,IF(B115="停滯期",$B$13,$B$14)))</f>
        <v>1</v>
      </c>
      <c r="D115" s="8" t="n">
        <f aca="false">$B$4*(($B$2-E114)/100)*C115*$B$5*$B$6*$B$7</f>
        <v>0.0954738200982076</v>
      </c>
      <c r="E115" s="8" t="n">
        <f aca="false">MIN(E114+D115,$B$2)</f>
        <v>81.1502746424863</v>
      </c>
      <c r="F115" s="19" t="n">
        <f aca="false">E115/$B$2</f>
        <v>0.954709113441016</v>
      </c>
    </row>
    <row r="116" customFormat="false" ht="15" hidden="false" customHeight="true" outlineLevel="0" collapsed="false">
      <c r="A116" s="8" t="n">
        <v>99</v>
      </c>
      <c r="B116" s="8" t="str">
        <f aca="false">IF(A116&lt;=$B$8,"上升期",IF(A116&lt;=$B$9,"巔峰期",IF(A116&lt;=$B$10,"停滯期","衰退期")))</f>
        <v>巔峰期</v>
      </c>
      <c r="C116" s="8" t="n">
        <f aca="false">IF(B116="上升期",$B$11,IF(B116="巔峰期",$B$12,IF(B116="停滯期",$B$13,$B$14)))</f>
        <v>1</v>
      </c>
      <c r="D116" s="8" t="n">
        <f aca="false">$B$4*(($B$2-E115)/100)*C116*$B$5*$B$6*$B$7</f>
        <v>0.093163353651831</v>
      </c>
      <c r="E116" s="8" t="n">
        <f aca="false">MIN(E115+D116,$B$2)</f>
        <v>81.2434379961382</v>
      </c>
      <c r="F116" s="19" t="n">
        <f aca="false">E116/$B$2</f>
        <v>0.955805152895743</v>
      </c>
    </row>
    <row r="117" customFormat="false" ht="15" hidden="false" customHeight="true" outlineLevel="0" collapsed="false">
      <c r="A117" s="8" t="n">
        <v>100</v>
      </c>
      <c r="B117" s="8" t="str">
        <f aca="false">IF(A117&lt;=$B$8,"上升期",IF(A117&lt;=$B$9,"巔峰期",IF(A117&lt;=$B$10,"停滯期","衰退期")))</f>
        <v>巔峰期</v>
      </c>
      <c r="C117" s="8" t="n">
        <f aca="false">IF(B117="上升期",$B$11,IF(B117="巔峰期",$B$12,IF(B117="停滯期",$B$13,$B$14)))</f>
        <v>1</v>
      </c>
      <c r="D117" s="8" t="n">
        <f aca="false">$B$4*(($B$2-E116)/100)*C117*$B$5*$B$6*$B$7</f>
        <v>0.0909088004934567</v>
      </c>
      <c r="E117" s="8" t="n">
        <f aca="false">MIN(E116+D117,$B$2)</f>
        <v>81.3343467966316</v>
      </c>
      <c r="F117" s="19" t="n">
        <f aca="false">E117/$B$2</f>
        <v>0.956874668195666</v>
      </c>
    </row>
    <row r="118" customFormat="false" ht="15" hidden="false" customHeight="true" outlineLevel="0" collapsed="false">
      <c r="A118" s="8" t="n">
        <v>101</v>
      </c>
      <c r="B118" s="8" t="str">
        <f aca="false">IF(A118&lt;=$B$8,"上升期",IF(A118&lt;=$B$9,"巔峰期",IF(A118&lt;=$B$10,"停滯期","衰退期")))</f>
        <v>巔峰期</v>
      </c>
      <c r="C118" s="8" t="n">
        <f aca="false">IF(B118="上升期",$B$11,IF(B118="巔峰期",$B$12,IF(B118="停滯期",$B$13,$B$14)))</f>
        <v>1</v>
      </c>
      <c r="D118" s="8" t="n">
        <f aca="false">$B$4*(($B$2-E117)/100)*C118*$B$5*$B$6*$B$7</f>
        <v>0.0887088075215151</v>
      </c>
      <c r="E118" s="8" t="n">
        <f aca="false">MIN(E117+D118,$B$2)</f>
        <v>81.4230556041531</v>
      </c>
      <c r="F118" s="19" t="n">
        <f aca="false">E118/$B$2</f>
        <v>0.957918301225331</v>
      </c>
    </row>
    <row r="119" customFormat="false" ht="15" hidden="false" customHeight="true" outlineLevel="0" collapsed="false">
      <c r="A119" s="8" t="n">
        <v>102</v>
      </c>
      <c r="B119" s="8" t="str">
        <f aca="false">IF(A119&lt;=$B$8,"上升期",IF(A119&lt;=$B$9,"巔峰期",IF(A119&lt;=$B$10,"停滯期","衰退期")))</f>
        <v>巔峰期</v>
      </c>
      <c r="C119" s="8" t="n">
        <f aca="false">IF(B119="上升期",$B$11,IF(B119="巔峰期",$B$12,IF(B119="停滯期",$B$13,$B$14)))</f>
        <v>1</v>
      </c>
      <c r="D119" s="8" t="n">
        <f aca="false">$B$4*(($B$2-E118)/100)*C119*$B$5*$B$6*$B$7</f>
        <v>0.0865620543794945</v>
      </c>
      <c r="E119" s="8" t="n">
        <f aca="false">MIN(E118+D119,$B$2)</f>
        <v>81.5096176585326</v>
      </c>
      <c r="F119" s="19" t="n">
        <f aca="false">E119/$B$2</f>
        <v>0.958936678335678</v>
      </c>
    </row>
    <row r="120" customFormat="false" ht="15" hidden="false" customHeight="true" outlineLevel="0" collapsed="false">
      <c r="A120" s="8" t="n">
        <v>103</v>
      </c>
      <c r="B120" s="8" t="str">
        <f aca="false">IF(A120&lt;=$B$8,"上升期",IF(A120&lt;=$B$9,"巔峰期",IF(A120&lt;=$B$10,"停滯期","衰退期")))</f>
        <v>巔峰期</v>
      </c>
      <c r="C120" s="8" t="n">
        <f aca="false">IF(B120="上升期",$B$11,IF(B120="巔峰期",$B$12,IF(B120="停滯期",$B$13,$B$14)))</f>
        <v>1</v>
      </c>
      <c r="D120" s="8" t="n">
        <f aca="false">$B$4*(($B$2-E119)/100)*C120*$B$5*$B$6*$B$7</f>
        <v>0.0844672526635106</v>
      </c>
      <c r="E120" s="8" t="n">
        <f aca="false">MIN(E119+D120,$B$2)</f>
        <v>81.5940849111961</v>
      </c>
      <c r="F120" s="19" t="n">
        <f aca="false">E120/$B$2</f>
        <v>0.959930410719955</v>
      </c>
    </row>
    <row r="121" customFormat="false" ht="15" hidden="false" customHeight="true" outlineLevel="0" collapsed="false">
      <c r="A121" s="8" t="n">
        <v>104</v>
      </c>
      <c r="B121" s="8" t="str">
        <f aca="false">IF(A121&lt;=$B$8,"上升期",IF(A121&lt;=$B$9,"巔峰期",IF(A121&lt;=$B$10,"停滯期","衰退期")))</f>
        <v>巔峰期</v>
      </c>
      <c r="C121" s="8" t="n">
        <f aca="false">IF(B121="上升期",$B$11,IF(B121="巔峰期",$B$12,IF(B121="停滯期",$B$13,$B$14)))</f>
        <v>1</v>
      </c>
      <c r="D121" s="8" t="n">
        <f aca="false">$B$4*(($B$2-E120)/100)*C121*$B$5*$B$6*$B$7</f>
        <v>0.0824231451490536</v>
      </c>
      <c r="E121" s="8" t="n">
        <f aca="false">MIN(E120+D121,$B$2)</f>
        <v>81.6765080563452</v>
      </c>
      <c r="F121" s="19" t="n">
        <f aca="false">E121/$B$2</f>
        <v>0.960900094780532</v>
      </c>
    </row>
    <row r="122" customFormat="false" ht="15" hidden="false" customHeight="true" outlineLevel="0" collapsed="false">
      <c r="A122" s="8" t="n">
        <v>105</v>
      </c>
      <c r="B122" s="8" t="str">
        <f aca="false">IF(A122&lt;=$B$8,"上升期",IF(A122&lt;=$B$9,"巔峰期",IF(A122&lt;=$B$10,"停滯期","衰退期")))</f>
        <v>停滯期</v>
      </c>
      <c r="C122" s="8" t="n">
        <f aca="false">IF(B122="上升期",$B$11,IF(B122="巔峰期",$B$12,IF(B122="停滯期",$B$13,$B$14)))</f>
        <v>0.5</v>
      </c>
      <c r="D122" s="8" t="n">
        <f aca="false">$B$4*(($B$2-E121)/100)*C122*$B$5*$B$6*$B$7</f>
        <v>0.0402142525182233</v>
      </c>
      <c r="E122" s="8" t="n">
        <f aca="false">MIN(E121+D122,$B$2)</f>
        <v>81.7167223088634</v>
      </c>
      <c r="F122" s="19" t="n">
        <f aca="false">E122/$B$2</f>
        <v>0.961373203633687</v>
      </c>
    </row>
    <row r="123" customFormat="false" ht="15" hidden="false" customHeight="true" outlineLevel="0" collapsed="false">
      <c r="A123" s="8" t="n">
        <v>106</v>
      </c>
      <c r="B123" s="8" t="str">
        <f aca="false">IF(A123&lt;=$B$8,"上升期",IF(A123&lt;=$B$9,"巔峰期",IF(A123&lt;=$B$10,"停滯期","衰退期")))</f>
        <v>停滯期</v>
      </c>
      <c r="C123" s="8" t="n">
        <f aca="false">IF(B123="上升期",$B$11,IF(B123="巔峰期",$B$12,IF(B123="停滯期",$B$13,$B$14)))</f>
        <v>0.5</v>
      </c>
      <c r="D123" s="8" t="n">
        <f aca="false">$B$4*(($B$2-E122)/100)*C123*$B$5*$B$6*$B$7</f>
        <v>0.0397276600627527</v>
      </c>
      <c r="E123" s="8" t="n">
        <f aca="false">MIN(E122+D123,$B$2)</f>
        <v>81.7564499689262</v>
      </c>
      <c r="F123" s="19" t="n">
        <f aca="false">E123/$B$2</f>
        <v>0.96184058786972</v>
      </c>
    </row>
    <row r="124" customFormat="false" ht="15" hidden="false" customHeight="true" outlineLevel="0" collapsed="false">
      <c r="A124" s="8" t="n">
        <v>107</v>
      </c>
      <c r="B124" s="8" t="str">
        <f aca="false">IF(A124&lt;=$B$8,"上升期",IF(A124&lt;=$B$9,"巔峰期",IF(A124&lt;=$B$10,"停滯期","衰退期")))</f>
        <v>停滯期</v>
      </c>
      <c r="C124" s="8" t="n">
        <f aca="false">IF(B124="上升期",$B$11,IF(B124="巔峰期",$B$12,IF(B124="停滯期",$B$13,$B$14)))</f>
        <v>0.5</v>
      </c>
      <c r="D124" s="8" t="n">
        <f aca="false">$B$4*(($B$2-E123)/100)*C124*$B$5*$B$6*$B$7</f>
        <v>0.0392469553759934</v>
      </c>
      <c r="E124" s="8" t="n">
        <f aca="false">MIN(E123+D124,$B$2)</f>
        <v>81.7956969243022</v>
      </c>
      <c r="F124" s="19" t="n">
        <f aca="false">E124/$B$2</f>
        <v>0.962302316756496</v>
      </c>
    </row>
    <row r="125" customFormat="false" ht="15" hidden="false" customHeight="true" outlineLevel="0" collapsed="false">
      <c r="A125" s="8" t="n">
        <v>108</v>
      </c>
      <c r="B125" s="8" t="str">
        <f aca="false">IF(A125&lt;=$B$8,"上升期",IF(A125&lt;=$B$9,"巔峰期",IF(A125&lt;=$B$10,"停滯期","衰退期")))</f>
        <v>停滯期</v>
      </c>
      <c r="C125" s="8" t="n">
        <f aca="false">IF(B125="上升期",$B$11,IF(B125="巔峰期",$B$12,IF(B125="停滯期",$B$13,$B$14)))</f>
        <v>0.5</v>
      </c>
      <c r="D125" s="8" t="n">
        <f aca="false">$B$4*(($B$2-E124)/100)*C125*$B$5*$B$6*$B$7</f>
        <v>0.038772067215944</v>
      </c>
      <c r="E125" s="8" t="n">
        <f aca="false">MIN(E124+D125,$B$2)</f>
        <v>81.8344689915181</v>
      </c>
      <c r="F125" s="19" t="n">
        <f aca="false">E125/$B$2</f>
        <v>0.962758458723742</v>
      </c>
    </row>
    <row r="126" customFormat="false" ht="15" hidden="false" customHeight="true" outlineLevel="0" collapsed="false">
      <c r="A126" s="8" t="n">
        <v>109</v>
      </c>
      <c r="B126" s="8" t="str">
        <f aca="false">IF(A126&lt;=$B$8,"上升期",IF(A126&lt;=$B$9,"巔峰期",IF(A126&lt;=$B$10,"停滯期","衰退期")))</f>
        <v>停滯期</v>
      </c>
      <c r="C126" s="8" t="n">
        <f aca="false">IF(B126="上升期",$B$11,IF(B126="巔峰期",$B$12,IF(B126="停滯期",$B$13,$B$14)))</f>
        <v>0.5</v>
      </c>
      <c r="D126" s="8" t="n">
        <f aca="false">$B$4*(($B$2-E125)/100)*C126*$B$5*$B$6*$B$7</f>
        <v>0.0383029252026311</v>
      </c>
      <c r="E126" s="8" t="n">
        <f aca="false">MIN(E125+D126,$B$2)</f>
        <v>81.8727719167207</v>
      </c>
      <c r="F126" s="19" t="n">
        <f aca="false">E126/$B$2</f>
        <v>0.963209081373185</v>
      </c>
    </row>
    <row r="127" customFormat="false" ht="15" hidden="false" customHeight="true" outlineLevel="0" collapsed="false">
      <c r="A127" s="8" t="n">
        <v>110</v>
      </c>
      <c r="B127" s="8" t="str">
        <f aca="false">IF(A127&lt;=$B$8,"上升期",IF(A127&lt;=$B$9,"巔峰期",IF(A127&lt;=$B$10,"停滯期","衰退期")))</f>
        <v>停滯期</v>
      </c>
      <c r="C127" s="8" t="n">
        <f aca="false">IF(B127="上升期",$B$11,IF(B127="巔峰期",$B$12,IF(B127="停滯期",$B$13,$B$14)))</f>
        <v>0.5</v>
      </c>
      <c r="D127" s="8" t="n">
        <f aca="false">$B$4*(($B$2-E126)/100)*C127*$B$5*$B$6*$B$7</f>
        <v>0.0378394598076793</v>
      </c>
      <c r="E127" s="8" t="n">
        <f aca="false">MIN(E126+D127,$B$2)</f>
        <v>81.9106113765284</v>
      </c>
      <c r="F127" s="19" t="n">
        <f aca="false">E127/$B$2</f>
        <v>0.96365425148857</v>
      </c>
    </row>
    <row r="128" customFormat="false" ht="15" hidden="false" customHeight="true" outlineLevel="0" collapsed="false">
      <c r="A128" s="8" t="n">
        <v>111</v>
      </c>
      <c r="B128" s="8" t="str">
        <f aca="false">IF(A128&lt;=$B$8,"上升期",IF(A128&lt;=$B$9,"巔峰期",IF(A128&lt;=$B$10,"停滯期","衰退期")))</f>
        <v>停滯期</v>
      </c>
      <c r="C128" s="8" t="n">
        <f aca="false">IF(B128="上升期",$B$11,IF(B128="巔峰期",$B$12,IF(B128="停滯期",$B$13,$B$14)))</f>
        <v>0.5</v>
      </c>
      <c r="D128" s="8" t="n">
        <f aca="false">$B$4*(($B$2-E127)/100)*C128*$B$5*$B$6*$B$7</f>
        <v>0.0373816023440063</v>
      </c>
      <c r="E128" s="8" t="n">
        <f aca="false">MIN(E127+D128,$B$2)</f>
        <v>81.9479929788724</v>
      </c>
      <c r="F128" s="19" t="n">
        <f aca="false">E128/$B$2</f>
        <v>0.964094035045558</v>
      </c>
    </row>
    <row r="129" customFormat="false" ht="15" hidden="false" customHeight="true" outlineLevel="0" collapsed="false">
      <c r="A129" s="8" t="n">
        <v>112</v>
      </c>
      <c r="B129" s="8" t="str">
        <f aca="false">IF(A129&lt;=$B$8,"上升期",IF(A129&lt;=$B$9,"巔峰期",IF(A129&lt;=$B$10,"停滯期","衰退期")))</f>
        <v>停滯期</v>
      </c>
      <c r="C129" s="8" t="n">
        <f aca="false">IF(B129="上升期",$B$11,IF(B129="巔峰期",$B$12,IF(B129="停滯期",$B$13,$B$14)))</f>
        <v>0.5</v>
      </c>
      <c r="D129" s="8" t="n">
        <f aca="false">$B$4*(($B$2-E128)/100)*C129*$B$5*$B$6*$B$7</f>
        <v>0.0369292849556437</v>
      </c>
      <c r="E129" s="8" t="n">
        <f aca="false">MIN(E128+D129,$B$2)</f>
        <v>81.9849222638281</v>
      </c>
      <c r="F129" s="19" t="n">
        <f aca="false">E129/$B$2</f>
        <v>0.964528497221507</v>
      </c>
    </row>
    <row r="130" customFormat="false" ht="15" hidden="false" customHeight="true" outlineLevel="0" collapsed="false">
      <c r="A130" s="8" t="n">
        <v>113</v>
      </c>
      <c r="B130" s="8" t="str">
        <f aca="false">IF(A130&lt;=$B$8,"上升期",IF(A130&lt;=$B$9,"巔峰期",IF(A130&lt;=$B$10,"停滯期","衰退期")))</f>
        <v>停滯期</v>
      </c>
      <c r="C130" s="8" t="n">
        <f aca="false">IF(B130="上升期",$B$11,IF(B130="巔峰期",$B$12,IF(B130="停滯期",$B$13,$B$14)))</f>
        <v>0.5</v>
      </c>
      <c r="D130" s="8" t="n">
        <f aca="false">$B$4*(($B$2-E129)/100)*C130*$B$5*$B$6*$B$7</f>
        <v>0.0364824406076804</v>
      </c>
      <c r="E130" s="8" t="n">
        <f aca="false">MIN(E129+D130,$B$2)</f>
        <v>82.0214047044358</v>
      </c>
      <c r="F130" s="19" t="n">
        <f aca="false">E130/$B$2</f>
        <v>0.964957702405127</v>
      </c>
    </row>
    <row r="131" customFormat="false" ht="15" hidden="false" customHeight="true" outlineLevel="0" collapsed="false">
      <c r="A131" s="8" t="n">
        <v>114</v>
      </c>
      <c r="B131" s="8" t="str">
        <f aca="false">IF(A131&lt;=$B$8,"上升期",IF(A131&lt;=$B$9,"巔峰期",IF(A131&lt;=$B$10,"停滯期","衰退期")))</f>
        <v>停滯期</v>
      </c>
      <c r="C131" s="8" t="n">
        <f aca="false">IF(B131="上升期",$B$11,IF(B131="巔峰期",$B$12,IF(B131="停滯期",$B$13,$B$14)))</f>
        <v>0.5</v>
      </c>
      <c r="D131" s="8" t="n">
        <f aca="false">$B$4*(($B$2-E130)/100)*C131*$B$5*$B$6*$B$7</f>
        <v>0.0360410030763274</v>
      </c>
      <c r="E131" s="8" t="n">
        <f aca="false">MIN(E130+D131,$B$2)</f>
        <v>82.0574457075121</v>
      </c>
      <c r="F131" s="19" t="n">
        <f aca="false">E131/$B$2</f>
        <v>0.965381714206024</v>
      </c>
    </row>
    <row r="132" customFormat="false" ht="15" hidden="false" customHeight="true" outlineLevel="0" collapsed="false">
      <c r="A132" s="8" t="n">
        <v>115</v>
      </c>
      <c r="B132" s="8" t="str">
        <f aca="false">IF(A132&lt;=$B$8,"上升期",IF(A132&lt;=$B$9,"巔峰期",IF(A132&lt;=$B$10,"停滯期","衰退期")))</f>
        <v>停滯期</v>
      </c>
      <c r="C132" s="8" t="n">
        <f aca="false">IF(B132="上升期",$B$11,IF(B132="巔峰期",$B$12,IF(B132="停滯期",$B$13,$B$14)))</f>
        <v>0.5</v>
      </c>
      <c r="D132" s="8" t="n">
        <f aca="false">$B$4*(($B$2-E131)/100)*C132*$B$5*$B$6*$B$7</f>
        <v>0.0356049069391039</v>
      </c>
      <c r="E132" s="8" t="n">
        <f aca="false">MIN(E131+D132,$B$2)</f>
        <v>82.0930506144512</v>
      </c>
      <c r="F132" s="19" t="n">
        <f aca="false">E132/$B$2</f>
        <v>0.965800595464131</v>
      </c>
    </row>
    <row r="133" customFormat="false" ht="15" hidden="false" customHeight="true" outlineLevel="0" collapsed="false">
      <c r="A133" s="8" t="n">
        <v>116</v>
      </c>
      <c r="B133" s="8" t="str">
        <f aca="false">IF(A133&lt;=$B$8,"上升期",IF(A133&lt;=$B$9,"巔峰期",IF(A133&lt;=$B$10,"停滯期","衰退期")))</f>
        <v>停滯期</v>
      </c>
      <c r="C133" s="8" t="n">
        <f aca="false">IF(B133="上升期",$B$11,IF(B133="巔峰期",$B$12,IF(B133="停滯期",$B$13,$B$14)))</f>
        <v>0.5</v>
      </c>
      <c r="D133" s="8" t="n">
        <f aca="false">$B$4*(($B$2-E132)/100)*C133*$B$5*$B$6*$B$7</f>
        <v>0.0351740875651408</v>
      </c>
      <c r="E133" s="8" t="n">
        <f aca="false">MIN(E132+D133,$B$2)</f>
        <v>82.1282247020163</v>
      </c>
      <c r="F133" s="19" t="n">
        <f aca="false">E133/$B$2</f>
        <v>0.966214408259015</v>
      </c>
    </row>
    <row r="134" customFormat="false" ht="15" hidden="false" customHeight="true" outlineLevel="0" collapsed="false">
      <c r="A134" s="8" t="n">
        <v>117</v>
      </c>
      <c r="B134" s="8" t="str">
        <f aca="false">IF(A134&lt;=$B$8,"上升期",IF(A134&lt;=$B$9,"巔峰期",IF(A134&lt;=$B$10,"停滯期","衰退期")))</f>
        <v>停滯期</v>
      </c>
      <c r="C134" s="8" t="n">
        <f aca="false">IF(B134="上升期",$B$11,IF(B134="巔峰期",$B$12,IF(B134="停滯期",$B$13,$B$14)))</f>
        <v>0.5</v>
      </c>
      <c r="D134" s="8" t="n">
        <f aca="false">$B$4*(($B$2-E133)/100)*C134*$B$5*$B$6*$B$7</f>
        <v>0.0347484811056026</v>
      </c>
      <c r="E134" s="8" t="n">
        <f aca="false">MIN(E133+D134,$B$2)</f>
        <v>82.1629731831219</v>
      </c>
      <c r="F134" s="19" t="n">
        <f aca="false">E134/$B$2</f>
        <v>0.966623213919082</v>
      </c>
    </row>
    <row r="135" customFormat="false" ht="15" hidden="false" customHeight="true" outlineLevel="0" collapsed="false">
      <c r="A135" s="8" t="n">
        <v>118</v>
      </c>
      <c r="B135" s="8" t="str">
        <f aca="false">IF(A135&lt;=$B$8,"上升期",IF(A135&lt;=$B$9,"巔峰期",IF(A135&lt;=$B$10,"停滯期","衰退期")))</f>
        <v>停滯期</v>
      </c>
      <c r="C135" s="8" t="n">
        <f aca="false">IF(B135="上升期",$B$11,IF(B135="巔峰期",$B$12,IF(B135="停滯期",$B$13,$B$14)))</f>
        <v>0.5</v>
      </c>
      <c r="D135" s="8" t="n">
        <f aca="false">$B$4*(($B$2-E134)/100)*C135*$B$5*$B$6*$B$7</f>
        <v>0.0343280244842248</v>
      </c>
      <c r="E135" s="8" t="n">
        <f aca="false">MIN(E134+D135,$B$2)</f>
        <v>82.1973012076062</v>
      </c>
      <c r="F135" s="19" t="n">
        <f aca="false">E135/$B$2</f>
        <v>0.967027073030661</v>
      </c>
    </row>
    <row r="136" customFormat="false" ht="15" hidden="false" customHeight="true" outlineLevel="0" collapsed="false">
      <c r="A136" s="8" t="n">
        <v>119</v>
      </c>
      <c r="B136" s="8" t="str">
        <f aca="false">IF(A136&lt;=$B$8,"上升期",IF(A136&lt;=$B$9,"巔峰期",IF(A136&lt;=$B$10,"停滯期","衰退期")))</f>
        <v>停滯期</v>
      </c>
      <c r="C136" s="8" t="n">
        <f aca="false">IF(B136="上升期",$B$11,IF(B136="巔峰期",$B$12,IF(B136="停滯期",$B$13,$B$14)))</f>
        <v>0.5</v>
      </c>
      <c r="D136" s="8" t="n">
        <f aca="false">$B$4*(($B$2-E135)/100)*C136*$B$5*$B$6*$B$7</f>
        <v>0.0339126553879657</v>
      </c>
      <c r="E136" s="8" t="n">
        <f aca="false">MIN(E135+D136,$B$2)</f>
        <v>82.2312138629941</v>
      </c>
      <c r="F136" s="19" t="n">
        <f aca="false">E136/$B$2</f>
        <v>0.96742604544699</v>
      </c>
    </row>
    <row r="137" customFormat="false" ht="15" hidden="false" customHeight="true" outlineLevel="0" collapsed="false">
      <c r="A137" s="8" t="n">
        <v>120</v>
      </c>
      <c r="B137" s="8" t="str">
        <f aca="false">IF(A137&lt;=$B$8,"上升期",IF(A137&lt;=$B$9,"巔峰期",IF(A137&lt;=$B$10,"停滯期","衰退期")))</f>
        <v>停滯期</v>
      </c>
      <c r="C137" s="8" t="n">
        <f aca="false">IF(B137="上升期",$B$11,IF(B137="巔峰期",$B$12,IF(B137="停滯期",$B$13,$B$14)))</f>
        <v>0.5</v>
      </c>
      <c r="D137" s="8" t="n">
        <f aca="false">$B$4*(($B$2-E136)/100)*C137*$B$5*$B$6*$B$7</f>
        <v>0.0335023122577713</v>
      </c>
      <c r="E137" s="8" t="n">
        <f aca="false">MIN(E136+D137,$B$2)</f>
        <v>82.2647161752519</v>
      </c>
      <c r="F137" s="19" t="n">
        <f aca="false">E137/$B$2</f>
        <v>0.967820190297081</v>
      </c>
    </row>
    <row r="138" customFormat="false" ht="15" hidden="false" customHeight="true" outlineLevel="0" collapsed="false">
      <c r="A138" s="8" t="n">
        <v>121</v>
      </c>
      <c r="B138" s="8" t="str">
        <f aca="false">IF(A138&lt;=$B$8,"上升期",IF(A138&lt;=$B$9,"巔峰期",IF(A138&lt;=$B$10,"停滯期","衰退期")))</f>
        <v>停滯期</v>
      </c>
      <c r="C138" s="8" t="n">
        <f aca="false">IF(B138="上升期",$B$11,IF(B138="巔峰期",$B$12,IF(B138="停滯期",$B$13,$B$14)))</f>
        <v>0.5</v>
      </c>
      <c r="D138" s="8" t="n">
        <f aca="false">$B$4*(($B$2-E137)/100)*C138*$B$5*$B$6*$B$7</f>
        <v>0.0330969342794523</v>
      </c>
      <c r="E138" s="8" t="n">
        <f aca="false">MIN(E137+D138,$B$2)</f>
        <v>82.2978131095313</v>
      </c>
      <c r="F138" s="19" t="n">
        <f aca="false">E138/$B$2</f>
        <v>0.968209565994486</v>
      </c>
    </row>
    <row r="139" customFormat="false" ht="15" hidden="false" customHeight="true" outlineLevel="0" collapsed="false">
      <c r="A139" s="8" t="n">
        <v>122</v>
      </c>
      <c r="B139" s="8" t="str">
        <f aca="false">IF(A139&lt;=$B$8,"上升期",IF(A139&lt;=$B$9,"巔峰期",IF(A139&lt;=$B$10,"停滯期","衰退期")))</f>
        <v>停滯期</v>
      </c>
      <c r="C139" s="8" t="n">
        <f aca="false">IF(B139="上升期",$B$11,IF(B139="巔峰期",$B$12,IF(B139="停滯期",$B$13,$B$14)))</f>
        <v>0.5</v>
      </c>
      <c r="D139" s="8" t="n">
        <f aca="false">$B$4*(($B$2-E138)/100)*C139*$B$5*$B$6*$B$7</f>
        <v>0.0326964613746709</v>
      </c>
      <c r="E139" s="8" t="n">
        <f aca="false">MIN(E138+D139,$B$2)</f>
        <v>82.330509570906</v>
      </c>
      <c r="F139" s="19" t="n">
        <f aca="false">E139/$B$2</f>
        <v>0.968594230245953</v>
      </c>
    </row>
    <row r="140" customFormat="false" ht="15" hidden="false" customHeight="true" outlineLevel="0" collapsed="false">
      <c r="A140" s="8" t="n">
        <v>123</v>
      </c>
      <c r="B140" s="8" t="str">
        <f aca="false">IF(A140&lt;=$B$8,"上升期",IF(A140&lt;=$B$9,"巔峰期",IF(A140&lt;=$B$10,"停滯期","衰退期")))</f>
        <v>停滯期</v>
      </c>
      <c r="C140" s="8" t="n">
        <f aca="false">IF(B140="上升期",$B$11,IF(B140="巔峰期",$B$12,IF(B140="停滯期",$B$13,$B$14)))</f>
        <v>0.5</v>
      </c>
      <c r="D140" s="8" t="n">
        <f aca="false">$B$4*(($B$2-E139)/100)*C140*$B$5*$B$6*$B$7</f>
        <v>0.0323008341920374</v>
      </c>
      <c r="E140" s="8" t="n">
        <f aca="false">MIN(E139+D140,$B$2)</f>
        <v>82.3628104050981</v>
      </c>
      <c r="F140" s="19" t="n">
        <f aca="false">E140/$B$2</f>
        <v>0.968974240059977</v>
      </c>
    </row>
    <row r="141" customFormat="false" ht="15" hidden="false" customHeight="true" outlineLevel="0" collapsed="false">
      <c r="A141" s="8" t="n">
        <v>124</v>
      </c>
      <c r="B141" s="8" t="str">
        <f aca="false">IF(A141&lt;=$B$8,"上升期",IF(A141&lt;=$B$9,"巔峰期",IF(A141&lt;=$B$10,"停滯期","衰退期")))</f>
        <v>停滯期</v>
      </c>
      <c r="C141" s="8" t="n">
        <f aca="false">IF(B141="上升期",$B$11,IF(B141="巔峰期",$B$12,IF(B141="停滯期",$B$13,$B$14)))</f>
        <v>0.5</v>
      </c>
      <c r="D141" s="8" t="n">
        <f aca="false">$B$4*(($B$2-E140)/100)*C141*$B$5*$B$6*$B$7</f>
        <v>0.0319099940983137</v>
      </c>
      <c r="E141" s="8" t="n">
        <f aca="false">MIN(E140+D141,$B$2)</f>
        <v>82.3947203991964</v>
      </c>
      <c r="F141" s="19" t="n">
        <f aca="false">E141/$B$2</f>
        <v>0.969349651755251</v>
      </c>
    </row>
    <row r="142" customFormat="false" ht="15" hidden="false" customHeight="true" outlineLevel="0" collapsed="false">
      <c r="A142" s="8" t="n">
        <v>125</v>
      </c>
      <c r="B142" s="8" t="str">
        <f aca="false">IF(A142&lt;=$B$8,"上升期",IF(A142&lt;=$B$9,"巔峰期",IF(A142&lt;=$B$10,"停滯期","衰退期")))</f>
        <v>停滯期</v>
      </c>
      <c r="C142" s="8" t="n">
        <f aca="false">IF(B142="上升期",$B$11,IF(B142="巔峰期",$B$12,IF(B142="停滯期",$B$13,$B$14)))</f>
        <v>0.5</v>
      </c>
      <c r="D142" s="8" t="n">
        <f aca="false">$B$4*(($B$2-E141)/100)*C142*$B$5*$B$6*$B$7</f>
        <v>0.0315238831697241</v>
      </c>
      <c r="E142" s="8" t="n">
        <f aca="false">MIN(E141+D142,$B$2)</f>
        <v>82.4262442823661</v>
      </c>
      <c r="F142" s="19" t="n">
        <f aca="false">E142/$B$2</f>
        <v>0.969720520969013</v>
      </c>
    </row>
    <row r="143" customFormat="false" ht="15" hidden="false" customHeight="true" outlineLevel="0" collapsed="false">
      <c r="A143" s="8" t="n">
        <v>126</v>
      </c>
      <c r="B143" s="8" t="str">
        <f aca="false">IF(A143&lt;=$B$8,"上升期",IF(A143&lt;=$B$9,"巔峰期",IF(A143&lt;=$B$10,"停滯期","衰退期")))</f>
        <v>停滯期</v>
      </c>
      <c r="C143" s="8" t="n">
        <f aca="false">IF(B143="上升期",$B$11,IF(B143="巔峰期",$B$12,IF(B143="停滯期",$B$13,$B$14)))</f>
        <v>0.5</v>
      </c>
      <c r="D143" s="8" t="n">
        <f aca="false">$B$4*(($B$2-E142)/100)*C143*$B$5*$B$6*$B$7</f>
        <v>0.0311424441833704</v>
      </c>
      <c r="E143" s="8" t="n">
        <f aca="false">MIN(E142+D143,$B$2)</f>
        <v>82.4573867265495</v>
      </c>
      <c r="F143" s="19" t="n">
        <f aca="false">E143/$B$2</f>
        <v>0.970086902665288</v>
      </c>
    </row>
    <row r="144" customFormat="false" ht="15" hidden="false" customHeight="true" outlineLevel="0" collapsed="false">
      <c r="A144" s="8" t="n">
        <v>127</v>
      </c>
      <c r="B144" s="8" t="str">
        <f aca="false">IF(A144&lt;=$B$8,"上升期",IF(A144&lt;=$B$9,"巔峰期",IF(A144&lt;=$B$10,"停滯期","衰退期")))</f>
        <v>停滯期</v>
      </c>
      <c r="C144" s="8" t="n">
        <f aca="false">IF(B144="上升期",$B$11,IF(B144="巔峰期",$B$12,IF(B144="停滯期",$B$13,$B$14)))</f>
        <v>0.5</v>
      </c>
      <c r="D144" s="8" t="n">
        <f aca="false">$B$4*(($B$2-E143)/100)*C144*$B$5*$B$6*$B$7</f>
        <v>0.0307656206087516</v>
      </c>
      <c r="E144" s="8" t="n">
        <f aca="false">MIN(E143+D144,$B$2)</f>
        <v>82.4881523471582</v>
      </c>
      <c r="F144" s="19" t="n">
        <f aca="false">E144/$B$2</f>
        <v>0.970448851143038</v>
      </c>
    </row>
    <row r="145" customFormat="false" ht="15" hidden="false" customHeight="true" outlineLevel="0" collapsed="false">
      <c r="A145" s="8" t="n">
        <v>128</v>
      </c>
      <c r="B145" s="8" t="str">
        <f aca="false">IF(A145&lt;=$B$8,"上升期",IF(A145&lt;=$B$9,"巔峰期",IF(A145&lt;=$B$10,"停滯期","衰退期")))</f>
        <v>停滯期</v>
      </c>
      <c r="C145" s="8" t="n">
        <f aca="false">IF(B145="上升期",$B$11,IF(B145="巔峰期",$B$12,IF(B145="停滯期",$B$13,$B$14)))</f>
        <v>0.5</v>
      </c>
      <c r="D145" s="8" t="n">
        <f aca="false">$B$4*(($B$2-E144)/100)*C145*$B$5*$B$6*$B$7</f>
        <v>0.0303933565993857</v>
      </c>
      <c r="E145" s="8" t="n">
        <f aca="false">MIN(E144+D145,$B$2)</f>
        <v>82.5185457037576</v>
      </c>
      <c r="F145" s="19" t="n">
        <f aca="false">E145/$B$2</f>
        <v>0.970806420044207</v>
      </c>
    </row>
    <row r="146" customFormat="false" ht="15" hidden="false" customHeight="true" outlineLevel="0" collapsed="false">
      <c r="A146" s="8" t="n">
        <v>129</v>
      </c>
      <c r="B146" s="8" t="str">
        <f aca="false">IF(A146&lt;=$B$8,"上升期",IF(A146&lt;=$B$9,"巔峰期",IF(A146&lt;=$B$10,"停滯期","衰退期")))</f>
        <v>停滯期</v>
      </c>
      <c r="C146" s="8" t="n">
        <f aca="false">IF(B146="上升期",$B$11,IF(B146="巔峰期",$B$12,IF(B146="停滯期",$B$13,$B$14)))</f>
        <v>0.5</v>
      </c>
      <c r="D146" s="8" t="n">
        <f aca="false">$B$4*(($B$2-E145)/100)*C146*$B$5*$B$6*$B$7</f>
        <v>0.0300255969845331</v>
      </c>
      <c r="E146" s="8" t="n">
        <f aca="false">MIN(E145+D146,$B$2)</f>
        <v>82.5485713007421</v>
      </c>
      <c r="F146" s="19" t="n">
        <f aca="false">E146/$B$2</f>
        <v>0.971159662361672</v>
      </c>
    </row>
    <row r="147" customFormat="false" ht="15" hidden="false" customHeight="true" outlineLevel="0" collapsed="false">
      <c r="A147" s="8" t="n">
        <v>130</v>
      </c>
      <c r="B147" s="8" t="str">
        <f aca="false">IF(A147&lt;=$B$8,"上升期",IF(A147&lt;=$B$9,"巔峰期",IF(A147&lt;=$B$10,"停滯期","衰退期")))</f>
        <v>停滯期</v>
      </c>
      <c r="C147" s="8" t="n">
        <f aca="false">IF(B147="上升期",$B$11,IF(B147="巔峰期",$B$12,IF(B147="停滯期",$B$13,$B$14)))</f>
        <v>0.5</v>
      </c>
      <c r="D147" s="8" t="n">
        <f aca="false">$B$4*(($B$2-E146)/100)*C147*$B$5*$B$6*$B$7</f>
        <v>0.0296622872610203</v>
      </c>
      <c r="E147" s="8" t="n">
        <f aca="false">MIN(E146+D147,$B$2)</f>
        <v>82.5782335880031</v>
      </c>
      <c r="F147" s="19" t="n">
        <f aca="false">E147/$B$2</f>
        <v>0.971508630447096</v>
      </c>
    </row>
    <row r="148" customFormat="false" ht="15" hidden="false" customHeight="true" outlineLevel="0" collapsed="false">
      <c r="A148" s="8" t="n">
        <v>131</v>
      </c>
      <c r="B148" s="8" t="str">
        <f aca="false">IF(A148&lt;=$B$8,"上升期",IF(A148&lt;=$B$9,"巔峰期",IF(A148&lt;=$B$10,"停滯期","衰退期")))</f>
        <v>衰退期</v>
      </c>
      <c r="C148" s="8" t="n">
        <f aca="false">IF(B148="上升期",$B$11,IF(B148="巔峰期",$B$12,IF(B148="停滯期",$B$13,$B$14)))</f>
        <v>0.1</v>
      </c>
      <c r="D148" s="8" t="n">
        <f aca="false">$B$4*(($B$2-E147)/100)*C148*$B$5*$B$6*$B$7</f>
        <v>0.00586067471703239</v>
      </c>
      <c r="E148" s="8" t="n">
        <f aca="false">MIN(E147+D148,$B$2)</f>
        <v>82.5840942627202</v>
      </c>
      <c r="F148" s="19" t="n">
        <f aca="false">E148/$B$2</f>
        <v>0.971577579561414</v>
      </c>
    </row>
    <row r="149" customFormat="false" ht="15" hidden="false" customHeight="true" outlineLevel="0" collapsed="false">
      <c r="A149" s="8" t="n">
        <v>132</v>
      </c>
      <c r="B149" s="8" t="str">
        <f aca="false">IF(A149&lt;=$B$8,"上升期",IF(A149&lt;=$B$9,"巔峰期",IF(A149&lt;=$B$10,"停滯期","衰退期")))</f>
        <v>衰退期</v>
      </c>
      <c r="C149" s="8" t="n">
        <f aca="false">IF(B149="上升期",$B$11,IF(B149="巔峰期",$B$12,IF(B149="停滯期",$B$13,$B$14)))</f>
        <v>0.1</v>
      </c>
      <c r="D149" s="8" t="n">
        <f aca="false">$B$4*(($B$2-E148)/100)*C149*$B$5*$B$6*$B$7</f>
        <v>0.00584649188421719</v>
      </c>
      <c r="E149" s="8" t="n">
        <f aca="false">MIN(E148+D149,$B$2)</f>
        <v>82.5899407546044</v>
      </c>
      <c r="F149" s="19" t="n">
        <f aca="false">E149/$B$2</f>
        <v>0.971646361818875</v>
      </c>
    </row>
    <row r="150" customFormat="false" ht="15" hidden="false" customHeight="true" outlineLevel="0" collapsed="false">
      <c r="A150" s="8" t="n">
        <v>133</v>
      </c>
      <c r="B150" s="8" t="str">
        <f aca="false">IF(A150&lt;=$B$8,"上升期",IF(A150&lt;=$B$9,"巔峰期",IF(A150&lt;=$B$10,"停滯期","衰退期")))</f>
        <v>衰退期</v>
      </c>
      <c r="C150" s="8" t="n">
        <f aca="false">IF(B150="上升期",$B$11,IF(B150="巔峰期",$B$12,IF(B150="停滯期",$B$13,$B$14)))</f>
        <v>0.1</v>
      </c>
      <c r="D150" s="8" t="n">
        <f aca="false">$B$4*(($B$2-E149)/100)*C150*$B$5*$B$6*$B$7</f>
        <v>0.00583234337385739</v>
      </c>
      <c r="E150" s="8" t="n">
        <f aca="false">MIN(E149+D150,$B$2)</f>
        <v>82.5957730979782</v>
      </c>
      <c r="F150" s="19" t="n">
        <f aca="false">E150/$B$2</f>
        <v>0.971714977623273</v>
      </c>
    </row>
    <row r="151" customFormat="false" ht="15" hidden="false" customHeight="true" outlineLevel="0" collapsed="false">
      <c r="A151" s="8" t="n">
        <v>134</v>
      </c>
      <c r="B151" s="8" t="str">
        <f aca="false">IF(A151&lt;=$B$8,"上升期",IF(A151&lt;=$B$9,"巔峰期",IF(A151&lt;=$B$10,"停滯期","衰退期")))</f>
        <v>衰退期</v>
      </c>
      <c r="C151" s="8" t="n">
        <f aca="false">IF(B151="上升期",$B$11,IF(B151="巔峰期",$B$12,IF(B151="停滯期",$B$13,$B$14)))</f>
        <v>0.1</v>
      </c>
      <c r="D151" s="8" t="n">
        <f aca="false">$B$4*(($B$2-E150)/100)*C151*$B$5*$B$6*$B$7</f>
        <v>0.00581822910289266</v>
      </c>
      <c r="E151" s="8" t="n">
        <f aca="false">MIN(E150+D151,$B$2)</f>
        <v>82.6015913270811</v>
      </c>
      <c r="F151" s="19" t="n">
        <f aca="false">E151/$B$2</f>
        <v>0.971783427377425</v>
      </c>
    </row>
    <row r="152" customFormat="false" ht="15" hidden="false" customHeight="true" outlineLevel="0" collapsed="false">
      <c r="A152" s="8" t="n">
        <v>135</v>
      </c>
      <c r="B152" s="8" t="str">
        <f aca="false">IF(A152&lt;=$B$8,"上升期",IF(A152&lt;=$B$9,"巔峰期",IF(A152&lt;=$B$10,"停滯期","衰退期")))</f>
        <v>衰退期</v>
      </c>
      <c r="C152" s="8" t="n">
        <f aca="false">IF(B152="上升期",$B$11,IF(B152="巔峰期",$B$12,IF(B152="停滯期",$B$13,$B$14)))</f>
        <v>0.1</v>
      </c>
      <c r="D152" s="8" t="n">
        <f aca="false">$B$4*(($B$2-E151)/100)*C152*$B$5*$B$6*$B$7</f>
        <v>0.00580414898846368</v>
      </c>
      <c r="E152" s="8" t="n">
        <f aca="false">MIN(E151+D152,$B$2)</f>
        <v>82.6073954760696</v>
      </c>
      <c r="F152" s="19" t="n">
        <f aca="false">E152/$B$2</f>
        <v>0.971851711483172</v>
      </c>
    </row>
    <row r="153" customFormat="false" ht="15" hidden="false" customHeight="true" outlineLevel="0" collapsed="false">
      <c r="A153" s="8" t="n">
        <v>136</v>
      </c>
      <c r="B153" s="8" t="str">
        <f aca="false">IF(A153&lt;=$B$8,"上升期",IF(A153&lt;=$B$9,"巔峰期",IF(A153&lt;=$B$10,"停滯期","衰退期")))</f>
        <v>衰退期</v>
      </c>
      <c r="C153" s="8" t="n">
        <f aca="false">IF(B153="上升期",$B$11,IF(B153="巔峰期",$B$12,IF(B153="停滯期",$B$13,$B$14)))</f>
        <v>0.1</v>
      </c>
      <c r="D153" s="8" t="n">
        <f aca="false">$B$4*(($B$2-E152)/100)*C153*$B$5*$B$6*$B$7</f>
        <v>0.00579010294791161</v>
      </c>
      <c r="E153" s="8" t="n">
        <f aca="false">MIN(E152+D153,$B$2)</f>
        <v>82.6131855790175</v>
      </c>
      <c r="F153" s="19" t="n">
        <f aca="false">E153/$B$2</f>
        <v>0.971919830341382</v>
      </c>
    </row>
    <row r="154" customFormat="false" ht="15" hidden="false" customHeight="true" outlineLevel="0" collapsed="false">
      <c r="A154" s="8" t="n">
        <v>137</v>
      </c>
      <c r="B154" s="8" t="str">
        <f aca="false">IF(A154&lt;=$B$8,"上升期",IF(A154&lt;=$B$9,"巔峰期",IF(A154&lt;=$B$10,"停滯期","衰退期")))</f>
        <v>衰退期</v>
      </c>
      <c r="C154" s="8" t="n">
        <f aca="false">IF(B154="上升期",$B$11,IF(B154="巔峰期",$B$12,IF(B154="停滯期",$B$13,$B$14)))</f>
        <v>0.1</v>
      </c>
      <c r="D154" s="8" t="n">
        <f aca="false">$B$4*(($B$2-E153)/100)*C154*$B$5*$B$6*$B$7</f>
        <v>0.00577609089877766</v>
      </c>
      <c r="E154" s="8" t="n">
        <f aca="false">MIN(E153+D154,$B$2)</f>
        <v>82.6189616699163</v>
      </c>
      <c r="F154" s="19" t="n">
        <f aca="false">E154/$B$2</f>
        <v>0.971987784351956</v>
      </c>
    </row>
    <row r="155" customFormat="false" ht="15" hidden="false" customHeight="true" outlineLevel="0" collapsed="false">
      <c r="A155" s="8" t="n">
        <v>138</v>
      </c>
      <c r="B155" s="8" t="str">
        <f aca="false">IF(A155&lt;=$B$8,"上升期",IF(A155&lt;=$B$9,"巔峰期",IF(A155&lt;=$B$10,"停滯期","衰退期")))</f>
        <v>衰退期</v>
      </c>
      <c r="C155" s="8" t="n">
        <f aca="false">IF(B155="上升期",$B$11,IF(B155="巔峰期",$B$12,IF(B155="停滯期",$B$13,$B$14)))</f>
        <v>0.1</v>
      </c>
      <c r="D155" s="8" t="n">
        <f aca="false">$B$4*(($B$2-E154)/100)*C155*$B$5*$B$6*$B$7</f>
        <v>0.00576211275880262</v>
      </c>
      <c r="E155" s="8" t="n">
        <f aca="false">MIN(E154+D155,$B$2)</f>
        <v>82.6247237826751</v>
      </c>
      <c r="F155" s="19" t="n">
        <f aca="false">E155/$B$2</f>
        <v>0.972055573913825</v>
      </c>
    </row>
    <row r="156" customFormat="false" ht="15" hidden="false" customHeight="true" outlineLevel="0" collapsed="false">
      <c r="A156" s="8" t="n">
        <v>139</v>
      </c>
      <c r="B156" s="8" t="str">
        <f aca="false">IF(A156&lt;=$B$8,"上升期",IF(A156&lt;=$B$9,"巔峰期",IF(A156&lt;=$B$10,"停滯期","衰退期")))</f>
        <v>衰退期</v>
      </c>
      <c r="C156" s="8" t="n">
        <f aca="false">IF(B156="上升期",$B$11,IF(B156="巔峰期",$B$12,IF(B156="停滯期",$B$13,$B$14)))</f>
        <v>0.1</v>
      </c>
      <c r="D156" s="8" t="n">
        <f aca="false">$B$4*(($B$2-E155)/100)*C156*$B$5*$B$6*$B$7</f>
        <v>0.00574816844592632</v>
      </c>
      <c r="E156" s="8" t="n">
        <f aca="false">MIN(E155+D156,$B$2)</f>
        <v>82.630471951121</v>
      </c>
      <c r="F156" s="19" t="n">
        <f aca="false">E156/$B$2</f>
        <v>0.972123199424953</v>
      </c>
    </row>
    <row r="157" customFormat="false" ht="15" hidden="false" customHeight="true" outlineLevel="0" collapsed="false">
      <c r="A157" s="8" t="n">
        <v>140</v>
      </c>
      <c r="B157" s="8" t="str">
        <f aca="false">IF(A157&lt;=$B$8,"上升期",IF(A157&lt;=$B$9,"巔峰期",IF(A157&lt;=$B$10,"停滯期","衰退期")))</f>
        <v>衰退期</v>
      </c>
      <c r="C157" s="8" t="n">
        <f aca="false">IF(B157="上升期",$B$11,IF(B157="巔峰期",$B$12,IF(B157="停滯期",$B$13,$B$14)))</f>
        <v>0.1</v>
      </c>
      <c r="D157" s="8" t="n">
        <f aca="false">$B$4*(($B$2-E156)/100)*C157*$B$5*$B$6*$B$7</f>
        <v>0.00573425787828716</v>
      </c>
      <c r="E157" s="8" t="n">
        <f aca="false">MIN(E156+D157,$B$2)</f>
        <v>82.6362062089993</v>
      </c>
      <c r="F157" s="19" t="n">
        <f aca="false">E157/$B$2</f>
        <v>0.972190661282345</v>
      </c>
    </row>
    <row r="158" customFormat="false" ht="15" hidden="false" customHeight="true" outlineLevel="0" collapsed="false">
      <c r="A158" s="8" t="n">
        <v>141</v>
      </c>
      <c r="B158" s="8" t="str">
        <f aca="false">IF(A158&lt;=$B$8,"上升期",IF(A158&lt;=$B$9,"巔峰期",IF(A158&lt;=$B$10,"停滯期","衰退期")))</f>
        <v>衰退期</v>
      </c>
      <c r="C158" s="8" t="n">
        <f aca="false">IF(B158="上升期",$B$11,IF(B158="巔峰期",$B$12,IF(B158="停滯期",$B$13,$B$14)))</f>
        <v>0.1</v>
      </c>
      <c r="D158" s="8" t="n">
        <f aca="false">$B$4*(($B$2-E157)/100)*C158*$B$5*$B$6*$B$7</f>
        <v>0.0057203809742217</v>
      </c>
      <c r="E158" s="8" t="n">
        <f aca="false">MIN(E157+D158,$B$2)</f>
        <v>82.6419265899735</v>
      </c>
      <c r="F158" s="19" t="n">
        <f aca="false">E158/$B$2</f>
        <v>0.972257959882041</v>
      </c>
    </row>
    <row r="159" customFormat="false" ht="15" hidden="false" customHeight="true" outlineLevel="0" collapsed="false">
      <c r="A159" s="8" t="n">
        <v>142</v>
      </c>
      <c r="B159" s="8" t="str">
        <f aca="false">IF(A159&lt;=$B$8,"上升期",IF(A159&lt;=$B$9,"巔峰期",IF(A159&lt;=$B$10,"停滯期","衰退期")))</f>
        <v>衰退期</v>
      </c>
      <c r="C159" s="8" t="n">
        <f aca="false">IF(B159="上升期",$B$11,IF(B159="巔峰期",$B$12,IF(B159="停滯期",$B$13,$B$14)))</f>
        <v>0.1</v>
      </c>
      <c r="D159" s="8" t="n">
        <f aca="false">$B$4*(($B$2-E158)/100)*C159*$B$5*$B$6*$B$7</f>
        <v>0.00570653765226408</v>
      </c>
      <c r="E159" s="8" t="n">
        <f aca="false">MIN(E158+D159,$B$2)</f>
        <v>82.6476331276258</v>
      </c>
      <c r="F159" s="19" t="n">
        <f aca="false">E159/$B$2</f>
        <v>0.972325095619127</v>
      </c>
    </row>
    <row r="160" customFormat="false" ht="15" hidden="false" customHeight="true" outlineLevel="0" collapsed="false">
      <c r="A160" s="8" t="n">
        <v>143</v>
      </c>
      <c r="B160" s="8" t="str">
        <f aca="false">IF(A160&lt;=$B$8,"上升期",IF(A160&lt;=$B$9,"巔峰期",IF(A160&lt;=$B$10,"停滯期","衰退期")))</f>
        <v>衰退期</v>
      </c>
      <c r="C160" s="8" t="n">
        <f aca="false">IF(B160="上升期",$B$11,IF(B160="巔峰期",$B$12,IF(B160="停滯期",$B$13,$B$14)))</f>
        <v>0.1</v>
      </c>
      <c r="D160" s="8" t="n">
        <f aca="false">$B$4*(($B$2-E159)/100)*C160*$B$5*$B$6*$B$7</f>
        <v>0.00569272783114561</v>
      </c>
      <c r="E160" s="8" t="n">
        <f aca="false">MIN(E159+D160,$B$2)</f>
        <v>82.6533258554569</v>
      </c>
      <c r="F160" s="19" t="n">
        <f aca="false">E160/$B$2</f>
        <v>0.972392068887729</v>
      </c>
    </row>
    <row r="161" customFormat="false" ht="15" hidden="false" customHeight="true" outlineLevel="0" collapsed="false">
      <c r="A161" s="8" t="n">
        <v>144</v>
      </c>
      <c r="B161" s="8" t="str">
        <f aca="false">IF(A161&lt;=$B$8,"上升期",IF(A161&lt;=$B$9,"巔峰期",IF(A161&lt;=$B$10,"停滯期","衰退期")))</f>
        <v>衰退期</v>
      </c>
      <c r="C161" s="8" t="n">
        <f aca="false">IF(B161="上升期",$B$11,IF(B161="巔峰期",$B$12,IF(B161="停滯期",$B$13,$B$14)))</f>
        <v>0.1</v>
      </c>
      <c r="D161" s="8" t="n">
        <f aca="false">$B$4*(($B$2-E160)/100)*C161*$B$5*$B$6*$B$7</f>
        <v>0.00567895142979424</v>
      </c>
      <c r="E161" s="8" t="n">
        <f aca="false">MIN(E160+D161,$B$2)</f>
        <v>82.6590048068867</v>
      </c>
      <c r="F161" s="19" t="n">
        <f aca="false">E161/$B$2</f>
        <v>0.97245888008102</v>
      </c>
    </row>
    <row r="162" customFormat="false" ht="15" hidden="false" customHeight="true" outlineLevel="0" collapsed="false">
      <c r="A162" s="8" t="n">
        <v>145</v>
      </c>
      <c r="B162" s="8" t="str">
        <f aca="false">IF(A162&lt;=$B$8,"上升期",IF(A162&lt;=$B$9,"巔峰期",IF(A162&lt;=$B$10,"停滯期","衰退期")))</f>
        <v>衰退期</v>
      </c>
      <c r="C162" s="8" t="n">
        <f aca="false">IF(B162="上升期",$B$11,IF(B162="巔峰期",$B$12,IF(B162="停滯期",$B$13,$B$14)))</f>
        <v>0.1</v>
      </c>
      <c r="D162" s="8" t="n">
        <f aca="false">$B$4*(($B$2-E161)/100)*C162*$B$5*$B$6*$B$7</f>
        <v>0.00566520836733412</v>
      </c>
      <c r="E162" s="8" t="n">
        <f aca="false">MIN(E161+D162,$B$2)</f>
        <v>82.6646700152541</v>
      </c>
      <c r="F162" s="19" t="n">
        <f aca="false">E162/$B$2</f>
        <v>0.972525529591224</v>
      </c>
    </row>
    <row r="163" customFormat="false" ht="15" hidden="false" customHeight="true" outlineLevel="0" collapsed="false">
      <c r="A163" s="8" t="n">
        <v>146</v>
      </c>
      <c r="B163" s="8" t="str">
        <f aca="false">IF(A163&lt;=$B$8,"上升期",IF(A163&lt;=$B$9,"巔峰期",IF(A163&lt;=$B$10,"停滯期","衰退期")))</f>
        <v>衰退期</v>
      </c>
      <c r="C163" s="8" t="n">
        <f aca="false">IF(B163="上升期",$B$11,IF(B163="巔峰期",$B$12,IF(B163="停滯期",$B$13,$B$14)))</f>
        <v>0.1</v>
      </c>
      <c r="D163" s="8" t="n">
        <f aca="false">$B$4*(($B$2-E162)/100)*C163*$B$5*$B$6*$B$7</f>
        <v>0.00565149856308517</v>
      </c>
      <c r="E163" s="8" t="n">
        <f aca="false">MIN(E162+D163,$B$2)</f>
        <v>82.6703215138171</v>
      </c>
      <c r="F163" s="19" t="n">
        <f aca="false">E163/$B$2</f>
        <v>0.972592017809614</v>
      </c>
    </row>
    <row r="164" customFormat="false" ht="15" hidden="false" customHeight="true" outlineLevel="0" collapsed="false">
      <c r="A164" s="8" t="n">
        <v>147</v>
      </c>
      <c r="B164" s="8" t="str">
        <f aca="false">IF(A164&lt;=$B$8,"上升期",IF(A164&lt;=$B$9,"巔峰期",IF(A164&lt;=$B$10,"停滯期","衰退期")))</f>
        <v>衰退期</v>
      </c>
      <c r="C164" s="8" t="n">
        <f aca="false">IF(B164="上升期",$B$11,IF(B164="巔峰期",$B$12,IF(B164="停滯期",$B$13,$B$14)))</f>
        <v>0.1</v>
      </c>
      <c r="D164" s="8" t="n">
        <f aca="false">$B$4*(($B$2-E163)/100)*C164*$B$5*$B$6*$B$7</f>
        <v>0.00563782193656252</v>
      </c>
      <c r="E164" s="8" t="n">
        <f aca="false">MIN(E163+D164,$B$2)</f>
        <v>82.6759593357537</v>
      </c>
      <c r="F164" s="19" t="n">
        <f aca="false">E164/$B$2</f>
        <v>0.972658345126514</v>
      </c>
    </row>
    <row r="165" customFormat="false" ht="15" hidden="false" customHeight="true" outlineLevel="0" collapsed="false">
      <c r="A165" s="8" t="n">
        <v>148</v>
      </c>
      <c r="B165" s="8" t="str">
        <f aca="false">IF(A165&lt;=$B$8,"上升期",IF(A165&lt;=$B$9,"巔峰期",IF(A165&lt;=$B$10,"停滯期","衰退期")))</f>
        <v>衰退期</v>
      </c>
      <c r="C165" s="8" t="n">
        <f aca="false">IF(B165="上升期",$B$11,IF(B165="巔峰期",$B$12,IF(B165="停滯期",$B$13,$B$14)))</f>
        <v>0.1</v>
      </c>
      <c r="D165" s="8" t="n">
        <f aca="false">$B$4*(($B$2-E164)/100)*C165*$B$5*$B$6*$B$7</f>
        <v>0.00562417840747604</v>
      </c>
      <c r="E165" s="8" t="n">
        <f aca="false">MIN(E164+D165,$B$2)</f>
        <v>82.6815835141612</v>
      </c>
      <c r="F165" s="19" t="n">
        <f aca="false">E165/$B$2</f>
        <v>0.972724511931308</v>
      </c>
    </row>
    <row r="166" customFormat="false" ht="15" hidden="false" customHeight="true" outlineLevel="0" collapsed="false">
      <c r="A166" s="8" t="n">
        <v>149</v>
      </c>
      <c r="B166" s="8" t="str">
        <f aca="false">IF(A166&lt;=$B$8,"上升期",IF(A166&lt;=$B$9,"巔峰期",IF(A166&lt;=$B$10,"停滯期","衰退期")))</f>
        <v>衰退期</v>
      </c>
      <c r="C166" s="8" t="n">
        <f aca="false">IF(B166="上升期",$B$11,IF(B166="巔峰期",$B$12,IF(B166="停滯期",$B$13,$B$14)))</f>
        <v>0.1</v>
      </c>
      <c r="D166" s="8" t="n">
        <f aca="false">$B$4*(($B$2-E165)/100)*C166*$B$5*$B$6*$B$7</f>
        <v>0.00561056789572996</v>
      </c>
      <c r="E166" s="8" t="n">
        <f aca="false">MIN(E165+D166,$B$2)</f>
        <v>82.6871940820569</v>
      </c>
      <c r="F166" s="19" t="n">
        <f aca="false">E166/$B$2</f>
        <v>0.972790518612434</v>
      </c>
    </row>
    <row r="167" customFormat="false" ht="15" hidden="false" customHeight="true" outlineLevel="0" collapsed="false">
      <c r="A167" s="8" t="n">
        <v>150</v>
      </c>
      <c r="B167" s="8" t="str">
        <f aca="false">IF(A167&lt;=$B$8,"上升期",IF(A167&lt;=$B$9,"巔峰期",IF(A167&lt;=$B$10,"停滯期","衰退期")))</f>
        <v>衰退期</v>
      </c>
      <c r="C167" s="8" t="n">
        <f aca="false">IF(B167="上升期",$B$11,IF(B167="巔峰期",$B$12,IF(B167="停滯期",$B$13,$B$14)))</f>
        <v>0.1</v>
      </c>
      <c r="D167" s="8" t="n">
        <f aca="false">$B$4*(($B$2-E166)/100)*C167*$B$5*$B$6*$B$7</f>
        <v>0.00559699032142229</v>
      </c>
      <c r="E167" s="8" t="n">
        <f aca="false">MIN(E166+D167,$B$2)</f>
        <v>82.6927910723783</v>
      </c>
      <c r="F167" s="19" t="n">
        <f aca="false">E167/$B$2</f>
        <v>0.972856365557392</v>
      </c>
    </row>
    <row r="169" customFormat="false" ht="15" hidden="false" customHeight="true" outlineLevel="0" collapsed="false">
      <c r="A169" s="10" t="s">
        <v>170</v>
      </c>
    </row>
    <row r="170" customFormat="false" ht="15" hidden="false" customHeight="true" outlineLevel="0" collapsed="false">
      <c r="A170" s="20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2"/>
    <col collapsed="false" customWidth="true" hidden="false" outlineLevel="0" max="3" min="3" style="1" width="3"/>
    <col collapsed="false" customWidth="true" hidden="false" outlineLevel="0" max="4" min="4" style="1" width="40"/>
  </cols>
  <sheetData>
    <row r="1" customFormat="false" ht="21" hidden="false" customHeight="true" outlineLevel="0" collapsed="false">
      <c r="A1" s="2" t="s">
        <v>172</v>
      </c>
      <c r="D1" s="10" t="s">
        <v>173</v>
      </c>
    </row>
    <row r="2" customFormat="false" ht="15" hidden="false" customHeight="true" outlineLevel="0" collapsed="false">
      <c r="A2" s="17" t="s">
        <v>174</v>
      </c>
      <c r="B2" s="12" t="n">
        <v>5</v>
      </c>
    </row>
    <row r="3" customFormat="false" ht="15" hidden="false" customHeight="true" outlineLevel="0" collapsed="false">
      <c r="A3" s="17" t="s">
        <v>175</v>
      </c>
      <c r="B3" s="12" t="n">
        <v>50000</v>
      </c>
    </row>
    <row r="4" customFormat="false" ht="16.5" hidden="false" customHeight="true" outlineLevel="0" collapsed="false">
      <c r="A4" s="17" t="s">
        <v>176</v>
      </c>
      <c r="B4" s="18" t="n">
        <v>400</v>
      </c>
    </row>
    <row r="5" customFormat="false" ht="16.5" hidden="false" customHeight="true" outlineLevel="0" collapsed="false">
      <c r="A5" s="17" t="s">
        <v>177</v>
      </c>
      <c r="B5" s="18" t="n">
        <v>500</v>
      </c>
    </row>
    <row r="6" customFormat="false" ht="16.5" hidden="false" customHeight="true" outlineLevel="0" collapsed="false">
      <c r="A6" s="17" t="s">
        <v>178</v>
      </c>
      <c r="B6" s="18" t="n">
        <v>800</v>
      </c>
    </row>
    <row r="7" customFormat="false" ht="16.5" hidden="false" customHeight="true" outlineLevel="0" collapsed="false">
      <c r="A7" s="17" t="s">
        <v>179</v>
      </c>
      <c r="B7" s="18" t="n">
        <v>350</v>
      </c>
    </row>
    <row r="8" customFormat="false" ht="16.5" hidden="false" customHeight="true" outlineLevel="0" collapsed="false">
      <c r="A8" s="17" t="s">
        <v>180</v>
      </c>
      <c r="B8" s="18" t="n">
        <v>200</v>
      </c>
    </row>
    <row r="11" customFormat="false" ht="32.25" hidden="false" customHeight="true" outlineLevel="0" collapsed="false">
      <c r="A11" s="6" t="s">
        <v>164</v>
      </c>
      <c r="B11" s="6" t="s">
        <v>181</v>
      </c>
      <c r="C11" s="6" t="s">
        <v>182</v>
      </c>
      <c r="D11" s="6" t="s">
        <v>183</v>
      </c>
      <c r="E11" s="6" t="s">
        <v>184</v>
      </c>
      <c r="F11" s="6" t="s">
        <v>45</v>
      </c>
    </row>
    <row r="12" customFormat="false" ht="15" hidden="false" customHeight="true" outlineLevel="0" collapsed="false">
      <c r="A12" s="8" t="n">
        <v>1</v>
      </c>
      <c r="B12" s="21" t="n">
        <f aca="false">$B$2*$B$7+$B$8</f>
        <v>1950</v>
      </c>
      <c r="C12" s="21" t="n">
        <f aca="false">$B$2*$B$4+$B$5+$B$6</f>
        <v>3300</v>
      </c>
      <c r="D12" s="21" t="n">
        <f aca="false">B12-C12</f>
        <v>-1350</v>
      </c>
      <c r="E12" s="21" t="n">
        <f aca="false">$B$3+D12</f>
        <v>48650</v>
      </c>
      <c r="F12" s="8" t="str">
        <f aca="false">IF(E12&lt;0,"負資產警示","")</f>
        <v/>
      </c>
    </row>
    <row r="13" customFormat="false" ht="15" hidden="false" customHeight="true" outlineLevel="0" collapsed="false">
      <c r="A13" s="8" t="n">
        <v>2</v>
      </c>
      <c r="B13" s="21" t="n">
        <f aca="false">$B$2*$B$7+$B$8</f>
        <v>1950</v>
      </c>
      <c r="C13" s="21" t="n">
        <f aca="false">$B$2*$B$4+$B$5+$B$6</f>
        <v>3300</v>
      </c>
      <c r="D13" s="21" t="n">
        <f aca="false">B13-C13</f>
        <v>-1350</v>
      </c>
      <c r="E13" s="21" t="n">
        <f aca="false">E12+D13</f>
        <v>47300</v>
      </c>
      <c r="F13" s="8" t="str">
        <f aca="false">IF(E13&lt;0,"負資產警示","")</f>
        <v/>
      </c>
    </row>
    <row r="14" customFormat="false" ht="15" hidden="false" customHeight="true" outlineLevel="0" collapsed="false">
      <c r="A14" s="8" t="n">
        <v>3</v>
      </c>
      <c r="B14" s="21" t="n">
        <f aca="false">$B$2*$B$7+$B$8</f>
        <v>1950</v>
      </c>
      <c r="C14" s="21" t="n">
        <f aca="false">$B$2*$B$4+$B$5+$B$6</f>
        <v>3300</v>
      </c>
      <c r="D14" s="21" t="n">
        <f aca="false">B14-C14</f>
        <v>-1350</v>
      </c>
      <c r="E14" s="21" t="n">
        <f aca="false">E13+D14</f>
        <v>45950</v>
      </c>
      <c r="F14" s="8" t="str">
        <f aca="false">IF(E14&lt;0,"負資產警示","")</f>
        <v/>
      </c>
    </row>
    <row r="15" customFormat="false" ht="15" hidden="false" customHeight="true" outlineLevel="0" collapsed="false">
      <c r="A15" s="8" t="n">
        <v>4</v>
      </c>
      <c r="B15" s="21" t="n">
        <f aca="false">$B$2*$B$7+$B$8</f>
        <v>1950</v>
      </c>
      <c r="C15" s="21" t="n">
        <f aca="false">$B$2*$B$4+$B$5+$B$6</f>
        <v>3300</v>
      </c>
      <c r="D15" s="21" t="n">
        <f aca="false">B15-C15</f>
        <v>-1350</v>
      </c>
      <c r="E15" s="21" t="n">
        <f aca="false">E14+D15</f>
        <v>44600</v>
      </c>
      <c r="F15" s="8" t="str">
        <f aca="false">IF(E15&lt;0,"負資產警示","")</f>
        <v/>
      </c>
    </row>
    <row r="16" customFormat="false" ht="15" hidden="false" customHeight="true" outlineLevel="0" collapsed="false">
      <c r="A16" s="8" t="n">
        <v>5</v>
      </c>
      <c r="B16" s="21" t="n">
        <f aca="false">$B$2*$B$7+$B$8</f>
        <v>1950</v>
      </c>
      <c r="C16" s="21" t="n">
        <f aca="false">$B$2*$B$4+$B$5+$B$6</f>
        <v>3300</v>
      </c>
      <c r="D16" s="21" t="n">
        <f aca="false">B16-C16</f>
        <v>-1350</v>
      </c>
      <c r="E16" s="21" t="n">
        <f aca="false">E15+D16</f>
        <v>43250</v>
      </c>
      <c r="F16" s="8" t="str">
        <f aca="false">IF(E16&lt;0,"負資產警示","")</f>
        <v/>
      </c>
    </row>
    <row r="17" customFormat="false" ht="15" hidden="false" customHeight="true" outlineLevel="0" collapsed="false">
      <c r="A17" s="8" t="n">
        <v>6</v>
      </c>
      <c r="B17" s="21" t="n">
        <f aca="false">$B$2*$B$7+$B$8</f>
        <v>1950</v>
      </c>
      <c r="C17" s="21" t="n">
        <f aca="false">$B$2*$B$4+$B$5+$B$6</f>
        <v>3300</v>
      </c>
      <c r="D17" s="21" t="n">
        <f aca="false">B17-C17</f>
        <v>-1350</v>
      </c>
      <c r="E17" s="21" t="n">
        <f aca="false">E16+D17</f>
        <v>41900</v>
      </c>
      <c r="F17" s="8" t="str">
        <f aca="false">IF(E17&lt;0,"負資產警示","")</f>
        <v/>
      </c>
    </row>
    <row r="18" customFormat="false" ht="15" hidden="false" customHeight="true" outlineLevel="0" collapsed="false">
      <c r="A18" s="8" t="n">
        <v>7</v>
      </c>
      <c r="B18" s="21" t="n">
        <f aca="false">$B$2*$B$7+$B$8</f>
        <v>1950</v>
      </c>
      <c r="C18" s="21" t="n">
        <f aca="false">$B$2*$B$4+$B$5+$B$6</f>
        <v>3300</v>
      </c>
      <c r="D18" s="21" t="n">
        <f aca="false">B18-C18</f>
        <v>-1350</v>
      </c>
      <c r="E18" s="21" t="n">
        <f aca="false">E17+D18</f>
        <v>40550</v>
      </c>
      <c r="F18" s="8" t="str">
        <f aca="false">IF(E18&lt;0,"負資產警示","")</f>
        <v/>
      </c>
    </row>
    <row r="19" customFormat="false" ht="15" hidden="false" customHeight="true" outlineLevel="0" collapsed="false">
      <c r="A19" s="8" t="n">
        <v>8</v>
      </c>
      <c r="B19" s="21" t="n">
        <f aca="false">$B$2*$B$7+$B$8</f>
        <v>1950</v>
      </c>
      <c r="C19" s="21" t="n">
        <f aca="false">$B$2*$B$4+$B$5+$B$6</f>
        <v>3300</v>
      </c>
      <c r="D19" s="21" t="n">
        <f aca="false">B19-C19</f>
        <v>-1350</v>
      </c>
      <c r="E19" s="21" t="n">
        <f aca="false">E18+D19</f>
        <v>39200</v>
      </c>
      <c r="F19" s="8" t="str">
        <f aca="false">IF(E19&lt;0,"負資產警示","")</f>
        <v/>
      </c>
    </row>
    <row r="20" customFormat="false" ht="15" hidden="false" customHeight="true" outlineLevel="0" collapsed="false">
      <c r="A20" s="8" t="n">
        <v>9</v>
      </c>
      <c r="B20" s="21" t="n">
        <f aca="false">$B$2*$B$7+$B$8</f>
        <v>1950</v>
      </c>
      <c r="C20" s="21" t="n">
        <f aca="false">$B$2*$B$4+$B$5+$B$6</f>
        <v>3300</v>
      </c>
      <c r="D20" s="21" t="n">
        <f aca="false">B20-C20</f>
        <v>-1350</v>
      </c>
      <c r="E20" s="21" t="n">
        <f aca="false">E19+D20</f>
        <v>37850</v>
      </c>
      <c r="F20" s="8" t="str">
        <f aca="false">IF(E20&lt;0,"負資產警示","")</f>
        <v/>
      </c>
    </row>
    <row r="21" customFormat="false" ht="15" hidden="false" customHeight="true" outlineLevel="0" collapsed="false">
      <c r="A21" s="8" t="n">
        <v>10</v>
      </c>
      <c r="B21" s="21" t="n">
        <f aca="false">$B$2*$B$7+$B$8</f>
        <v>1950</v>
      </c>
      <c r="C21" s="21" t="n">
        <f aca="false">$B$2*$B$4+$B$5+$B$6</f>
        <v>3300</v>
      </c>
      <c r="D21" s="21" t="n">
        <f aca="false">B21-C21</f>
        <v>-1350</v>
      </c>
      <c r="E21" s="21" t="n">
        <f aca="false">E20+D21</f>
        <v>36500</v>
      </c>
      <c r="F21" s="8" t="str">
        <f aca="false">IF(E21&lt;0,"負資產警示","")</f>
        <v/>
      </c>
    </row>
    <row r="22" customFormat="false" ht="15" hidden="false" customHeight="true" outlineLevel="0" collapsed="false">
      <c r="A22" s="8" t="n">
        <v>11</v>
      </c>
      <c r="B22" s="21" t="n">
        <f aca="false">$B$2*$B$7+$B$8</f>
        <v>1950</v>
      </c>
      <c r="C22" s="21" t="n">
        <f aca="false">$B$2*$B$4+$B$5+$B$6</f>
        <v>3300</v>
      </c>
      <c r="D22" s="21" t="n">
        <f aca="false">B22-C22</f>
        <v>-1350</v>
      </c>
      <c r="E22" s="21" t="n">
        <f aca="false">E21+D22</f>
        <v>35150</v>
      </c>
      <c r="F22" s="8" t="str">
        <f aca="false">IF(E22&lt;0,"負資產警示","")</f>
        <v/>
      </c>
    </row>
    <row r="23" customFormat="false" ht="15" hidden="false" customHeight="true" outlineLevel="0" collapsed="false">
      <c r="A23" s="8" t="n">
        <v>12</v>
      </c>
      <c r="B23" s="21" t="n">
        <f aca="false">$B$2*$B$7+$B$8</f>
        <v>1950</v>
      </c>
      <c r="C23" s="21" t="n">
        <f aca="false">$B$2*$B$4+$B$5+$B$6</f>
        <v>3300</v>
      </c>
      <c r="D23" s="21" t="n">
        <f aca="false">B23-C23</f>
        <v>-1350</v>
      </c>
      <c r="E23" s="21" t="n">
        <f aca="false">E22+D23</f>
        <v>33800</v>
      </c>
      <c r="F23" s="8" t="str">
        <f aca="false">IF(E23&lt;0,"負資產警示","")</f>
        <v/>
      </c>
    </row>
    <row r="24" customFormat="false" ht="15" hidden="false" customHeight="true" outlineLevel="0" collapsed="false">
      <c r="A24" s="8" t="n">
        <v>13</v>
      </c>
      <c r="B24" s="21" t="n">
        <f aca="false">$B$2*$B$7+$B$8</f>
        <v>1950</v>
      </c>
      <c r="C24" s="21" t="n">
        <f aca="false">$B$2*$B$4+$B$5+$B$6</f>
        <v>3300</v>
      </c>
      <c r="D24" s="21" t="n">
        <f aca="false">B24-C24</f>
        <v>-1350</v>
      </c>
      <c r="E24" s="21" t="n">
        <f aca="false">E23+D24</f>
        <v>32450</v>
      </c>
      <c r="F24" s="8" t="str">
        <f aca="false">IF(E24&lt;0,"負資產警示","")</f>
        <v/>
      </c>
    </row>
    <row r="25" customFormat="false" ht="15" hidden="false" customHeight="true" outlineLevel="0" collapsed="false">
      <c r="A25" s="8" t="n">
        <v>14</v>
      </c>
      <c r="B25" s="21" t="n">
        <f aca="false">$B$2*$B$7+$B$8</f>
        <v>1950</v>
      </c>
      <c r="C25" s="21" t="n">
        <f aca="false">$B$2*$B$4+$B$5+$B$6</f>
        <v>3300</v>
      </c>
      <c r="D25" s="21" t="n">
        <f aca="false">B25-C25</f>
        <v>-1350</v>
      </c>
      <c r="E25" s="21" t="n">
        <f aca="false">E24+D25</f>
        <v>31100</v>
      </c>
      <c r="F25" s="8" t="str">
        <f aca="false">IF(E25&lt;0,"負資產警示","")</f>
        <v/>
      </c>
    </row>
    <row r="26" customFormat="false" ht="15" hidden="false" customHeight="true" outlineLevel="0" collapsed="false">
      <c r="A26" s="8" t="n">
        <v>15</v>
      </c>
      <c r="B26" s="21" t="n">
        <f aca="false">$B$2*$B$7+$B$8</f>
        <v>1950</v>
      </c>
      <c r="C26" s="21" t="n">
        <f aca="false">$B$2*$B$4+$B$5+$B$6</f>
        <v>3300</v>
      </c>
      <c r="D26" s="21" t="n">
        <f aca="false">B26-C26</f>
        <v>-1350</v>
      </c>
      <c r="E26" s="21" t="n">
        <f aca="false">E25+D26</f>
        <v>29750</v>
      </c>
      <c r="F26" s="8" t="str">
        <f aca="false">IF(E26&lt;0,"負資產警示","")</f>
        <v/>
      </c>
    </row>
    <row r="27" customFormat="false" ht="15" hidden="false" customHeight="true" outlineLevel="0" collapsed="false">
      <c r="A27" s="8" t="n">
        <v>16</v>
      </c>
      <c r="B27" s="21" t="n">
        <f aca="false">$B$2*$B$7+$B$8</f>
        <v>1950</v>
      </c>
      <c r="C27" s="21" t="n">
        <f aca="false">$B$2*$B$4+$B$5+$B$6</f>
        <v>3300</v>
      </c>
      <c r="D27" s="21" t="n">
        <f aca="false">B27-C27</f>
        <v>-1350</v>
      </c>
      <c r="E27" s="21" t="n">
        <f aca="false">E26+D27</f>
        <v>28400</v>
      </c>
      <c r="F27" s="8" t="str">
        <f aca="false">IF(E27&lt;0,"負資產警示","")</f>
        <v/>
      </c>
    </row>
    <row r="28" customFormat="false" ht="15" hidden="false" customHeight="true" outlineLevel="0" collapsed="false">
      <c r="A28" s="8" t="n">
        <v>17</v>
      </c>
      <c r="B28" s="21" t="n">
        <f aca="false">$B$2*$B$7+$B$8</f>
        <v>1950</v>
      </c>
      <c r="C28" s="21" t="n">
        <f aca="false">$B$2*$B$4+$B$5+$B$6</f>
        <v>3300</v>
      </c>
      <c r="D28" s="21" t="n">
        <f aca="false">B28-C28</f>
        <v>-1350</v>
      </c>
      <c r="E28" s="21" t="n">
        <f aca="false">E27+D28</f>
        <v>27050</v>
      </c>
      <c r="F28" s="8" t="str">
        <f aca="false">IF(E28&lt;0,"負資產警示","")</f>
        <v/>
      </c>
    </row>
    <row r="29" customFormat="false" ht="15" hidden="false" customHeight="true" outlineLevel="0" collapsed="false">
      <c r="A29" s="8" t="n">
        <v>18</v>
      </c>
      <c r="B29" s="21" t="n">
        <f aca="false">$B$2*$B$7+$B$8</f>
        <v>1950</v>
      </c>
      <c r="C29" s="21" t="n">
        <f aca="false">$B$2*$B$4+$B$5+$B$6</f>
        <v>3300</v>
      </c>
      <c r="D29" s="21" t="n">
        <f aca="false">B29-C29</f>
        <v>-1350</v>
      </c>
      <c r="E29" s="21" t="n">
        <f aca="false">E28+D29</f>
        <v>25700</v>
      </c>
      <c r="F29" s="8" t="str">
        <f aca="false">IF(E29&lt;0,"負資產警示","")</f>
        <v/>
      </c>
    </row>
    <row r="30" customFormat="false" ht="15" hidden="false" customHeight="true" outlineLevel="0" collapsed="false">
      <c r="A30" s="8" t="n">
        <v>19</v>
      </c>
      <c r="B30" s="21" t="n">
        <f aca="false">$B$2*$B$7+$B$8</f>
        <v>1950</v>
      </c>
      <c r="C30" s="21" t="n">
        <f aca="false">$B$2*$B$4+$B$5+$B$6</f>
        <v>3300</v>
      </c>
      <c r="D30" s="21" t="n">
        <f aca="false">B30-C30</f>
        <v>-1350</v>
      </c>
      <c r="E30" s="21" t="n">
        <f aca="false">E29+D30</f>
        <v>24350</v>
      </c>
      <c r="F30" s="8" t="str">
        <f aca="false">IF(E30&lt;0,"負資產警示","")</f>
        <v/>
      </c>
    </row>
    <row r="31" customFormat="false" ht="15" hidden="false" customHeight="true" outlineLevel="0" collapsed="false">
      <c r="A31" s="8" t="n">
        <v>20</v>
      </c>
      <c r="B31" s="21" t="n">
        <f aca="false">$B$2*$B$7+$B$8</f>
        <v>1950</v>
      </c>
      <c r="C31" s="21" t="n">
        <f aca="false">$B$2*$B$4+$B$5+$B$6</f>
        <v>3300</v>
      </c>
      <c r="D31" s="21" t="n">
        <f aca="false">B31-C31</f>
        <v>-1350</v>
      </c>
      <c r="E31" s="21" t="n">
        <f aca="false">E30+D31</f>
        <v>23000</v>
      </c>
      <c r="F31" s="8" t="str">
        <f aca="false">IF(E31&lt;0,"負資產警示","")</f>
        <v/>
      </c>
    </row>
    <row r="32" customFormat="false" ht="15" hidden="false" customHeight="true" outlineLevel="0" collapsed="false">
      <c r="A32" s="8" t="n">
        <v>21</v>
      </c>
      <c r="B32" s="21" t="n">
        <f aca="false">$B$2*$B$7+$B$8</f>
        <v>1950</v>
      </c>
      <c r="C32" s="21" t="n">
        <f aca="false">$B$2*$B$4+$B$5+$B$6</f>
        <v>3300</v>
      </c>
      <c r="D32" s="21" t="n">
        <f aca="false">B32-C32</f>
        <v>-1350</v>
      </c>
      <c r="E32" s="21" t="n">
        <f aca="false">E31+D32</f>
        <v>21650</v>
      </c>
      <c r="F32" s="8" t="str">
        <f aca="false">IF(E32&lt;0,"負資產警示","")</f>
        <v/>
      </c>
    </row>
    <row r="33" customFormat="false" ht="15" hidden="false" customHeight="true" outlineLevel="0" collapsed="false">
      <c r="A33" s="8" t="n">
        <v>22</v>
      </c>
      <c r="B33" s="21" t="n">
        <f aca="false">$B$2*$B$7+$B$8</f>
        <v>1950</v>
      </c>
      <c r="C33" s="21" t="n">
        <f aca="false">$B$2*$B$4+$B$5+$B$6</f>
        <v>3300</v>
      </c>
      <c r="D33" s="21" t="n">
        <f aca="false">B33-C33</f>
        <v>-1350</v>
      </c>
      <c r="E33" s="21" t="n">
        <f aca="false">E32+D33</f>
        <v>20300</v>
      </c>
      <c r="F33" s="8" t="str">
        <f aca="false">IF(E33&lt;0,"負資產警示","")</f>
        <v/>
      </c>
    </row>
    <row r="34" customFormat="false" ht="15" hidden="false" customHeight="true" outlineLevel="0" collapsed="false">
      <c r="A34" s="8" t="n">
        <v>23</v>
      </c>
      <c r="B34" s="21" t="n">
        <f aca="false">$B$2*$B$7+$B$8</f>
        <v>1950</v>
      </c>
      <c r="C34" s="21" t="n">
        <f aca="false">$B$2*$B$4+$B$5+$B$6</f>
        <v>3300</v>
      </c>
      <c r="D34" s="21" t="n">
        <f aca="false">B34-C34</f>
        <v>-1350</v>
      </c>
      <c r="E34" s="21" t="n">
        <f aca="false">E33+D34</f>
        <v>18950</v>
      </c>
      <c r="F34" s="8" t="str">
        <f aca="false">IF(E34&lt;0,"負資產警示","")</f>
        <v/>
      </c>
    </row>
    <row r="35" customFormat="false" ht="15" hidden="false" customHeight="true" outlineLevel="0" collapsed="false">
      <c r="A35" s="8" t="n">
        <v>24</v>
      </c>
      <c r="B35" s="21" t="n">
        <f aca="false">$B$2*$B$7+$B$8</f>
        <v>1950</v>
      </c>
      <c r="C35" s="21" t="n">
        <f aca="false">$B$2*$B$4+$B$5+$B$6</f>
        <v>3300</v>
      </c>
      <c r="D35" s="21" t="n">
        <f aca="false">B35-C35</f>
        <v>-1350</v>
      </c>
      <c r="E35" s="21" t="n">
        <f aca="false">E34+D35</f>
        <v>17600</v>
      </c>
      <c r="F35" s="8" t="str">
        <f aca="false">IF(E35&lt;0,"負資產警示","")</f>
        <v/>
      </c>
    </row>
    <row r="36" customFormat="false" ht="15" hidden="false" customHeight="true" outlineLevel="0" collapsed="false">
      <c r="A36" s="8" t="n">
        <v>25</v>
      </c>
      <c r="B36" s="21" t="n">
        <f aca="false">$B$2*$B$7+$B$8</f>
        <v>1950</v>
      </c>
      <c r="C36" s="21" t="n">
        <f aca="false">$B$2*$B$4+$B$5+$B$6</f>
        <v>3300</v>
      </c>
      <c r="D36" s="21" t="n">
        <f aca="false">B36-C36</f>
        <v>-1350</v>
      </c>
      <c r="E36" s="21" t="n">
        <f aca="false">E35+D36</f>
        <v>16250</v>
      </c>
      <c r="F36" s="8" t="str">
        <f aca="false">IF(E36&lt;0,"負資產警示","")</f>
        <v/>
      </c>
    </row>
    <row r="37" customFormat="false" ht="15" hidden="false" customHeight="true" outlineLevel="0" collapsed="false">
      <c r="A37" s="8" t="n">
        <v>26</v>
      </c>
      <c r="B37" s="21" t="n">
        <f aca="false">$B$2*$B$7+$B$8</f>
        <v>1950</v>
      </c>
      <c r="C37" s="21" t="n">
        <f aca="false">$B$2*$B$4+$B$5+$B$6</f>
        <v>3300</v>
      </c>
      <c r="D37" s="21" t="n">
        <f aca="false">B37-C37</f>
        <v>-1350</v>
      </c>
      <c r="E37" s="21" t="n">
        <f aca="false">E36+D37</f>
        <v>14900</v>
      </c>
      <c r="F37" s="8" t="str">
        <f aca="false">IF(E37&lt;0,"負資產警示","")</f>
        <v/>
      </c>
    </row>
    <row r="38" customFormat="false" ht="15" hidden="false" customHeight="true" outlineLevel="0" collapsed="false">
      <c r="A38" s="8" t="n">
        <v>27</v>
      </c>
      <c r="B38" s="21" t="n">
        <f aca="false">$B$2*$B$7+$B$8</f>
        <v>1950</v>
      </c>
      <c r="C38" s="21" t="n">
        <f aca="false">$B$2*$B$4+$B$5+$B$6</f>
        <v>3300</v>
      </c>
      <c r="D38" s="21" t="n">
        <f aca="false">B38-C38</f>
        <v>-1350</v>
      </c>
      <c r="E38" s="21" t="n">
        <f aca="false">E37+D38</f>
        <v>13550</v>
      </c>
      <c r="F38" s="8" t="str">
        <f aca="false">IF(E38&lt;0,"負資產警示","")</f>
        <v/>
      </c>
    </row>
    <row r="39" customFormat="false" ht="15" hidden="false" customHeight="true" outlineLevel="0" collapsed="false">
      <c r="A39" s="8" t="n">
        <v>28</v>
      </c>
      <c r="B39" s="21" t="n">
        <f aca="false">$B$2*$B$7+$B$8</f>
        <v>1950</v>
      </c>
      <c r="C39" s="21" t="n">
        <f aca="false">$B$2*$B$4+$B$5+$B$6</f>
        <v>3300</v>
      </c>
      <c r="D39" s="21" t="n">
        <f aca="false">B39-C39</f>
        <v>-1350</v>
      </c>
      <c r="E39" s="21" t="n">
        <f aca="false">E38+D39</f>
        <v>12200</v>
      </c>
      <c r="F39" s="8" t="str">
        <f aca="false">IF(E39&lt;0,"負資產警示","")</f>
        <v/>
      </c>
    </row>
    <row r="40" customFormat="false" ht="15" hidden="false" customHeight="true" outlineLevel="0" collapsed="false">
      <c r="A40" s="8" t="n">
        <v>29</v>
      </c>
      <c r="B40" s="21" t="n">
        <f aca="false">$B$2*$B$7+$B$8</f>
        <v>1950</v>
      </c>
      <c r="C40" s="21" t="n">
        <f aca="false">$B$2*$B$4+$B$5+$B$6</f>
        <v>3300</v>
      </c>
      <c r="D40" s="21" t="n">
        <f aca="false">B40-C40</f>
        <v>-1350</v>
      </c>
      <c r="E40" s="21" t="n">
        <f aca="false">E39+D40</f>
        <v>10850</v>
      </c>
      <c r="F40" s="8" t="str">
        <f aca="false">IF(E40&lt;0,"負資產警示","")</f>
        <v/>
      </c>
    </row>
    <row r="41" customFormat="false" ht="15" hidden="false" customHeight="true" outlineLevel="0" collapsed="false">
      <c r="A41" s="8" t="n">
        <v>30</v>
      </c>
      <c r="B41" s="21" t="n">
        <f aca="false">$B$2*$B$7+$B$8</f>
        <v>1950</v>
      </c>
      <c r="C41" s="21" t="n">
        <f aca="false">$B$2*$B$4+$B$5+$B$6</f>
        <v>3300</v>
      </c>
      <c r="D41" s="21" t="n">
        <f aca="false">B41-C41</f>
        <v>-1350</v>
      </c>
      <c r="E41" s="21" t="n">
        <f aca="false">E40+D41</f>
        <v>9500</v>
      </c>
      <c r="F41" s="8" t="str">
        <f aca="false">IF(E41&lt;0,"負資產警示","")</f>
        <v/>
      </c>
    </row>
    <row r="42" customFormat="false" ht="15" hidden="false" customHeight="true" outlineLevel="0" collapsed="false">
      <c r="A42" s="8" t="n">
        <v>31</v>
      </c>
      <c r="B42" s="21" t="n">
        <f aca="false">$B$2*$B$7+$B$8</f>
        <v>1950</v>
      </c>
      <c r="C42" s="21" t="n">
        <f aca="false">$B$2*$B$4+$B$5+$B$6</f>
        <v>3300</v>
      </c>
      <c r="D42" s="21" t="n">
        <f aca="false">B42-C42</f>
        <v>-1350</v>
      </c>
      <c r="E42" s="21" t="n">
        <f aca="false">E41+D42</f>
        <v>8150</v>
      </c>
      <c r="F42" s="8" t="str">
        <f aca="false">IF(E42&lt;0,"負資產警示","")</f>
        <v/>
      </c>
    </row>
    <row r="43" customFormat="false" ht="15" hidden="false" customHeight="true" outlineLevel="0" collapsed="false">
      <c r="A43" s="8" t="n">
        <v>32</v>
      </c>
      <c r="B43" s="21" t="n">
        <f aca="false">$B$2*$B$7+$B$8</f>
        <v>1950</v>
      </c>
      <c r="C43" s="21" t="n">
        <f aca="false">$B$2*$B$4+$B$5+$B$6</f>
        <v>3300</v>
      </c>
      <c r="D43" s="21" t="n">
        <f aca="false">B43-C43</f>
        <v>-1350</v>
      </c>
      <c r="E43" s="21" t="n">
        <f aca="false">E42+D43</f>
        <v>6800</v>
      </c>
      <c r="F43" s="8" t="str">
        <f aca="false">IF(E43&lt;0,"負資產警示","")</f>
        <v/>
      </c>
    </row>
    <row r="44" customFormat="false" ht="15" hidden="false" customHeight="true" outlineLevel="0" collapsed="false">
      <c r="A44" s="8" t="n">
        <v>33</v>
      </c>
      <c r="B44" s="21" t="n">
        <f aca="false">$B$2*$B$7+$B$8</f>
        <v>1950</v>
      </c>
      <c r="C44" s="21" t="n">
        <f aca="false">$B$2*$B$4+$B$5+$B$6</f>
        <v>3300</v>
      </c>
      <c r="D44" s="21" t="n">
        <f aca="false">B44-C44</f>
        <v>-1350</v>
      </c>
      <c r="E44" s="21" t="n">
        <f aca="false">E43+D44</f>
        <v>5450</v>
      </c>
      <c r="F44" s="8" t="str">
        <f aca="false">IF(E44&lt;0,"負資產警示","")</f>
        <v/>
      </c>
    </row>
    <row r="45" customFormat="false" ht="15" hidden="false" customHeight="true" outlineLevel="0" collapsed="false">
      <c r="A45" s="8" t="n">
        <v>34</v>
      </c>
      <c r="B45" s="21" t="n">
        <f aca="false">$B$2*$B$7+$B$8</f>
        <v>1950</v>
      </c>
      <c r="C45" s="21" t="n">
        <f aca="false">$B$2*$B$4+$B$5+$B$6</f>
        <v>3300</v>
      </c>
      <c r="D45" s="21" t="n">
        <f aca="false">B45-C45</f>
        <v>-1350</v>
      </c>
      <c r="E45" s="21" t="n">
        <f aca="false">E44+D45</f>
        <v>4100</v>
      </c>
      <c r="F45" s="8" t="str">
        <f aca="false">IF(E45&lt;0,"負資產警示","")</f>
        <v/>
      </c>
    </row>
    <row r="46" customFormat="false" ht="15" hidden="false" customHeight="true" outlineLevel="0" collapsed="false">
      <c r="A46" s="8" t="n">
        <v>35</v>
      </c>
      <c r="B46" s="21" t="n">
        <f aca="false">$B$2*$B$7+$B$8</f>
        <v>1950</v>
      </c>
      <c r="C46" s="21" t="n">
        <f aca="false">$B$2*$B$4+$B$5+$B$6</f>
        <v>3300</v>
      </c>
      <c r="D46" s="21" t="n">
        <f aca="false">B46-C46</f>
        <v>-1350</v>
      </c>
      <c r="E46" s="21" t="n">
        <f aca="false">E45+D46</f>
        <v>2750</v>
      </c>
      <c r="F46" s="8" t="str">
        <f aca="false">IF(E46&lt;0,"負資產警示","")</f>
        <v/>
      </c>
    </row>
    <row r="47" customFormat="false" ht="15" hidden="false" customHeight="true" outlineLevel="0" collapsed="false">
      <c r="A47" s="8" t="n">
        <v>36</v>
      </c>
      <c r="B47" s="21" t="n">
        <f aca="false">$B$2*$B$7+$B$8</f>
        <v>1950</v>
      </c>
      <c r="C47" s="21" t="n">
        <f aca="false">$B$2*$B$4+$B$5+$B$6</f>
        <v>3300</v>
      </c>
      <c r="D47" s="21" t="n">
        <f aca="false">B47-C47</f>
        <v>-1350</v>
      </c>
      <c r="E47" s="21" t="n">
        <f aca="false">E46+D47</f>
        <v>1400</v>
      </c>
      <c r="F47" s="8" t="str">
        <f aca="false">IF(E47&lt;0,"負資產警示","")</f>
        <v/>
      </c>
    </row>
    <row r="48" customFormat="false" ht="15" hidden="false" customHeight="true" outlineLevel="0" collapsed="false">
      <c r="A48" s="8" t="n">
        <v>37</v>
      </c>
      <c r="B48" s="21" t="n">
        <f aca="false">$B$2*$B$7+$B$8</f>
        <v>1950</v>
      </c>
      <c r="C48" s="21" t="n">
        <f aca="false">$B$2*$B$4+$B$5+$B$6</f>
        <v>3300</v>
      </c>
      <c r="D48" s="21" t="n">
        <f aca="false">B48-C48</f>
        <v>-1350</v>
      </c>
      <c r="E48" s="21" t="n">
        <f aca="false">E47+D48</f>
        <v>50</v>
      </c>
      <c r="F48" s="8" t="str">
        <f aca="false">IF(E48&lt;0,"負資產警示","")</f>
        <v/>
      </c>
    </row>
    <row r="49" customFormat="false" ht="15" hidden="false" customHeight="true" outlineLevel="0" collapsed="false">
      <c r="A49" s="8" t="n">
        <v>38</v>
      </c>
      <c r="B49" s="21" t="n">
        <f aca="false">$B$2*$B$7+$B$8</f>
        <v>1950</v>
      </c>
      <c r="C49" s="21" t="n">
        <f aca="false">$B$2*$B$4+$B$5+$B$6</f>
        <v>3300</v>
      </c>
      <c r="D49" s="21" t="n">
        <f aca="false">B49-C49</f>
        <v>-1350</v>
      </c>
      <c r="E49" s="21" t="n">
        <f aca="false">E48+D49</f>
        <v>-1300</v>
      </c>
      <c r="F49" s="8" t="str">
        <f aca="false">IF(E49&lt;0,"負資產警示","")</f>
        <v>負資產警示</v>
      </c>
    </row>
    <row r="50" customFormat="false" ht="15" hidden="false" customHeight="true" outlineLevel="0" collapsed="false">
      <c r="A50" s="8" t="n">
        <v>39</v>
      </c>
      <c r="B50" s="21" t="n">
        <f aca="false">$B$2*$B$7+$B$8</f>
        <v>1950</v>
      </c>
      <c r="C50" s="21" t="n">
        <f aca="false">$B$2*$B$4+$B$5+$B$6</f>
        <v>3300</v>
      </c>
      <c r="D50" s="21" t="n">
        <f aca="false">B50-C50</f>
        <v>-1350</v>
      </c>
      <c r="E50" s="21" t="n">
        <f aca="false">E49+D50</f>
        <v>-2650</v>
      </c>
      <c r="F50" s="8" t="str">
        <f aca="false">IF(E50&lt;0,"負資產警示","")</f>
        <v>負資產警示</v>
      </c>
    </row>
    <row r="51" customFormat="false" ht="15" hidden="false" customHeight="true" outlineLevel="0" collapsed="false">
      <c r="A51" s="8" t="n">
        <v>40</v>
      </c>
      <c r="B51" s="21" t="n">
        <f aca="false">$B$2*$B$7+$B$8</f>
        <v>1950</v>
      </c>
      <c r="C51" s="21" t="n">
        <f aca="false">$B$2*$B$4+$B$5+$B$6</f>
        <v>3300</v>
      </c>
      <c r="D51" s="21" t="n">
        <f aca="false">B51-C51</f>
        <v>-1350</v>
      </c>
      <c r="E51" s="21" t="n">
        <f aca="false">E50+D51</f>
        <v>-4000</v>
      </c>
      <c r="F51" s="8" t="str">
        <f aca="false">IF(E51&lt;0,"負資產警示","")</f>
        <v>負資產警示</v>
      </c>
    </row>
    <row r="52" customFormat="false" ht="15" hidden="false" customHeight="true" outlineLevel="0" collapsed="false">
      <c r="A52" s="8" t="n">
        <v>41</v>
      </c>
      <c r="B52" s="21" t="n">
        <f aca="false">$B$2*$B$7+$B$8</f>
        <v>1950</v>
      </c>
      <c r="C52" s="21" t="n">
        <f aca="false">$B$2*$B$4+$B$5+$B$6</f>
        <v>3300</v>
      </c>
      <c r="D52" s="21" t="n">
        <f aca="false">B52-C52</f>
        <v>-1350</v>
      </c>
      <c r="E52" s="21" t="n">
        <f aca="false">E51+D52</f>
        <v>-5350</v>
      </c>
      <c r="F52" s="8" t="str">
        <f aca="false">IF(E52&lt;0,"負資產警示","")</f>
        <v>負資產警示</v>
      </c>
    </row>
    <row r="53" customFormat="false" ht="15" hidden="false" customHeight="true" outlineLevel="0" collapsed="false">
      <c r="A53" s="8" t="n">
        <v>42</v>
      </c>
      <c r="B53" s="21" t="n">
        <f aca="false">$B$2*$B$7+$B$8</f>
        <v>1950</v>
      </c>
      <c r="C53" s="21" t="n">
        <f aca="false">$B$2*$B$4+$B$5+$B$6</f>
        <v>3300</v>
      </c>
      <c r="D53" s="21" t="n">
        <f aca="false">B53-C53</f>
        <v>-1350</v>
      </c>
      <c r="E53" s="21" t="n">
        <f aca="false">E52+D53</f>
        <v>-6700</v>
      </c>
      <c r="F53" s="8" t="str">
        <f aca="false">IF(E53&lt;0,"負資產警示","")</f>
        <v>負資產警示</v>
      </c>
    </row>
    <row r="54" customFormat="false" ht="15" hidden="false" customHeight="true" outlineLevel="0" collapsed="false">
      <c r="A54" s="8" t="n">
        <v>43</v>
      </c>
      <c r="B54" s="21" t="n">
        <f aca="false">$B$2*$B$7+$B$8</f>
        <v>1950</v>
      </c>
      <c r="C54" s="21" t="n">
        <f aca="false">$B$2*$B$4+$B$5+$B$6</f>
        <v>3300</v>
      </c>
      <c r="D54" s="21" t="n">
        <f aca="false">B54-C54</f>
        <v>-1350</v>
      </c>
      <c r="E54" s="21" t="n">
        <f aca="false">E53+D54</f>
        <v>-8050</v>
      </c>
      <c r="F54" s="8" t="str">
        <f aca="false">IF(E54&lt;0,"負資產警示","")</f>
        <v>負資產警示</v>
      </c>
    </row>
    <row r="55" customFormat="false" ht="15" hidden="false" customHeight="true" outlineLevel="0" collapsed="false">
      <c r="A55" s="8" t="n">
        <v>44</v>
      </c>
      <c r="B55" s="21" t="n">
        <f aca="false">$B$2*$B$7+$B$8</f>
        <v>1950</v>
      </c>
      <c r="C55" s="21" t="n">
        <f aca="false">$B$2*$B$4+$B$5+$B$6</f>
        <v>3300</v>
      </c>
      <c r="D55" s="21" t="n">
        <f aca="false">B55-C55</f>
        <v>-1350</v>
      </c>
      <c r="E55" s="21" t="n">
        <f aca="false">E54+D55</f>
        <v>-9400</v>
      </c>
      <c r="F55" s="8" t="str">
        <f aca="false">IF(E55&lt;0,"負資產警示","")</f>
        <v>負資產警示</v>
      </c>
    </row>
    <row r="56" customFormat="false" ht="15" hidden="false" customHeight="true" outlineLevel="0" collapsed="false">
      <c r="A56" s="8" t="n">
        <v>45</v>
      </c>
      <c r="B56" s="21" t="n">
        <f aca="false">$B$2*$B$7+$B$8</f>
        <v>1950</v>
      </c>
      <c r="C56" s="21" t="n">
        <f aca="false">$B$2*$B$4+$B$5+$B$6</f>
        <v>3300</v>
      </c>
      <c r="D56" s="21" t="n">
        <f aca="false">B56-C56</f>
        <v>-1350</v>
      </c>
      <c r="E56" s="21" t="n">
        <f aca="false">E55+D56</f>
        <v>-10750</v>
      </c>
      <c r="F56" s="8" t="str">
        <f aca="false">IF(E56&lt;0,"負資產警示","")</f>
        <v>負資產警示</v>
      </c>
    </row>
    <row r="57" customFormat="false" ht="15" hidden="false" customHeight="true" outlineLevel="0" collapsed="false">
      <c r="A57" s="8" t="n">
        <v>46</v>
      </c>
      <c r="B57" s="21" t="n">
        <f aca="false">$B$2*$B$7+$B$8</f>
        <v>1950</v>
      </c>
      <c r="C57" s="21" t="n">
        <f aca="false">$B$2*$B$4+$B$5+$B$6</f>
        <v>3300</v>
      </c>
      <c r="D57" s="21" t="n">
        <f aca="false">B57-C57</f>
        <v>-1350</v>
      </c>
      <c r="E57" s="21" t="n">
        <f aca="false">E56+D57</f>
        <v>-12100</v>
      </c>
      <c r="F57" s="8" t="str">
        <f aca="false">IF(E57&lt;0,"負資產警示","")</f>
        <v>負資產警示</v>
      </c>
    </row>
    <row r="58" customFormat="false" ht="15" hidden="false" customHeight="true" outlineLevel="0" collapsed="false">
      <c r="A58" s="8" t="n">
        <v>47</v>
      </c>
      <c r="B58" s="21" t="n">
        <f aca="false">$B$2*$B$7+$B$8</f>
        <v>1950</v>
      </c>
      <c r="C58" s="21" t="n">
        <f aca="false">$B$2*$B$4+$B$5+$B$6</f>
        <v>3300</v>
      </c>
      <c r="D58" s="21" t="n">
        <f aca="false">B58-C58</f>
        <v>-1350</v>
      </c>
      <c r="E58" s="21" t="n">
        <f aca="false">E57+D58</f>
        <v>-13450</v>
      </c>
      <c r="F58" s="8" t="str">
        <f aca="false">IF(E58&lt;0,"負資產警示","")</f>
        <v>負資產警示</v>
      </c>
    </row>
    <row r="59" customFormat="false" ht="15" hidden="false" customHeight="true" outlineLevel="0" collapsed="false">
      <c r="A59" s="8" t="n">
        <v>48</v>
      </c>
      <c r="B59" s="21" t="n">
        <f aca="false">$B$2*$B$7+$B$8</f>
        <v>1950</v>
      </c>
      <c r="C59" s="21" t="n">
        <f aca="false">$B$2*$B$4+$B$5+$B$6</f>
        <v>3300</v>
      </c>
      <c r="D59" s="21" t="n">
        <f aca="false">B59-C59</f>
        <v>-1350</v>
      </c>
      <c r="E59" s="21" t="n">
        <f aca="false">E58+D59</f>
        <v>-14800</v>
      </c>
      <c r="F59" s="8" t="str">
        <f aca="false">IF(E59&lt;0,"負資產警示","")</f>
        <v>負資產警示</v>
      </c>
    </row>
    <row r="60" customFormat="false" ht="15" hidden="false" customHeight="true" outlineLevel="0" collapsed="false">
      <c r="A60" s="8" t="n">
        <v>49</v>
      </c>
      <c r="B60" s="21" t="n">
        <f aca="false">$B$2*$B$7+$B$8</f>
        <v>1950</v>
      </c>
      <c r="C60" s="21" t="n">
        <f aca="false">$B$2*$B$4+$B$5+$B$6</f>
        <v>3300</v>
      </c>
      <c r="D60" s="21" t="n">
        <f aca="false">B60-C60</f>
        <v>-1350</v>
      </c>
      <c r="E60" s="21" t="n">
        <f aca="false">E59+D60</f>
        <v>-16150</v>
      </c>
      <c r="F60" s="8" t="str">
        <f aca="false">IF(E60&lt;0,"負資產警示","")</f>
        <v>負資產警示</v>
      </c>
    </row>
    <row r="61" customFormat="false" ht="15" hidden="false" customHeight="true" outlineLevel="0" collapsed="false">
      <c r="A61" s="8" t="n">
        <v>50</v>
      </c>
      <c r="B61" s="21" t="n">
        <f aca="false">$B$2*$B$7+$B$8</f>
        <v>1950</v>
      </c>
      <c r="C61" s="21" t="n">
        <f aca="false">$B$2*$B$4+$B$5+$B$6</f>
        <v>3300</v>
      </c>
      <c r="D61" s="21" t="n">
        <f aca="false">B61-C61</f>
        <v>-1350</v>
      </c>
      <c r="E61" s="21" t="n">
        <f aca="false">E60+D61</f>
        <v>-17500</v>
      </c>
      <c r="F61" s="8" t="str">
        <f aca="false">IF(E61&lt;0,"負資產警示","")</f>
        <v>負資產警示</v>
      </c>
    </row>
    <row r="62" customFormat="false" ht="15" hidden="false" customHeight="true" outlineLevel="0" collapsed="false">
      <c r="A62" s="8" t="n">
        <v>51</v>
      </c>
      <c r="B62" s="21" t="n">
        <f aca="false">$B$2*$B$7+$B$8</f>
        <v>1950</v>
      </c>
      <c r="C62" s="21" t="n">
        <f aca="false">$B$2*$B$4+$B$5+$B$6</f>
        <v>3300</v>
      </c>
      <c r="D62" s="21" t="n">
        <f aca="false">B62-C62</f>
        <v>-1350</v>
      </c>
      <c r="E62" s="21" t="n">
        <f aca="false">E61+D62</f>
        <v>-18850</v>
      </c>
      <c r="F62" s="8" t="str">
        <f aca="false">IF(E62&lt;0,"負資產警示","")</f>
        <v>負資產警示</v>
      </c>
    </row>
    <row r="63" customFormat="false" ht="15" hidden="false" customHeight="true" outlineLevel="0" collapsed="false">
      <c r="A63" s="8" t="n">
        <v>52</v>
      </c>
      <c r="B63" s="21" t="n">
        <f aca="false">$B$2*$B$7+$B$8</f>
        <v>1950</v>
      </c>
      <c r="C63" s="21" t="n">
        <f aca="false">$B$2*$B$4+$B$5+$B$6</f>
        <v>3300</v>
      </c>
      <c r="D63" s="21" t="n">
        <f aca="false">B63-C63</f>
        <v>-1350</v>
      </c>
      <c r="E63" s="21" t="n">
        <f aca="false">E62+D63</f>
        <v>-20200</v>
      </c>
      <c r="F63" s="8" t="str">
        <f aca="false">IF(E63&lt;0,"負資產警示","")</f>
        <v>負資產警示</v>
      </c>
    </row>
    <row r="65" customFormat="false" ht="15" hidden="false" customHeight="true" outlineLevel="0" collapsed="false">
      <c r="A65" s="10" t="s">
        <v>185</v>
      </c>
    </row>
    <row r="66" customFormat="false" ht="15" hidden="false" customHeight="true" outlineLevel="0" collapsed="false">
      <c r="A66" s="10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3"/>
    <col collapsed="false" customWidth="true" hidden="false" outlineLevel="0" max="4" min="4" style="1" width="55"/>
  </cols>
  <sheetData>
    <row r="1" customFormat="false" ht="21" hidden="false" customHeight="true" outlineLevel="0" collapsed="false">
      <c r="A1" s="2" t="s">
        <v>187</v>
      </c>
      <c r="D1" s="10" t="s">
        <v>188</v>
      </c>
    </row>
    <row r="2" customFormat="false" ht="15" hidden="false" customHeight="true" outlineLevel="0" collapsed="false">
      <c r="A2" s="17" t="s">
        <v>174</v>
      </c>
      <c r="B2" s="12" t="n">
        <v>5</v>
      </c>
    </row>
    <row r="3" customFormat="false" ht="15" hidden="false" customHeight="true" outlineLevel="0" collapsed="false">
      <c r="A3" s="17" t="s">
        <v>175</v>
      </c>
      <c r="B3" s="12" t="n">
        <v>150000</v>
      </c>
    </row>
    <row r="4" customFormat="false" ht="16.5" hidden="false" customHeight="true" outlineLevel="0" collapsed="false">
      <c r="A4" s="17" t="s">
        <v>189</v>
      </c>
      <c r="B4" s="18" t="n">
        <v>350</v>
      </c>
    </row>
    <row r="5" customFormat="false" ht="16.5" hidden="false" customHeight="true" outlineLevel="0" collapsed="false">
      <c r="A5" s="17" t="s">
        <v>190</v>
      </c>
      <c r="B5" s="18" t="n">
        <v>500</v>
      </c>
    </row>
    <row r="6" customFormat="false" ht="16.5" hidden="false" customHeight="true" outlineLevel="0" collapsed="false">
      <c r="A6" s="17" t="s">
        <v>191</v>
      </c>
      <c r="B6" s="18" t="n">
        <v>900</v>
      </c>
    </row>
    <row r="7" customFormat="false" ht="16.5" hidden="false" customHeight="true" outlineLevel="0" collapsed="false">
      <c r="A7" s="17" t="s">
        <v>192</v>
      </c>
      <c r="B7" s="18" t="n">
        <v>4</v>
      </c>
    </row>
    <row r="8" customFormat="false" ht="16.5" hidden="false" customHeight="true" outlineLevel="0" collapsed="false">
      <c r="A8" s="17" t="s">
        <v>193</v>
      </c>
      <c r="B8" s="18" t="n">
        <v>800</v>
      </c>
    </row>
    <row r="9" customFormat="false" ht="16.5" hidden="false" customHeight="true" outlineLevel="0" collapsed="false">
      <c r="A9" s="17" t="s">
        <v>194</v>
      </c>
      <c r="B9" s="18" t="n">
        <v>15000</v>
      </c>
    </row>
    <row r="10" customFormat="false" ht="16.5" hidden="false" customHeight="true" outlineLevel="0" collapsed="false">
      <c r="A10" s="17" t="s">
        <v>195</v>
      </c>
      <c r="B10" s="12" t="s">
        <v>196</v>
      </c>
    </row>
    <row r="11" customFormat="false" ht="16.5" hidden="false" customHeight="true" outlineLevel="0" collapsed="false">
      <c r="A11" s="17" t="s">
        <v>197</v>
      </c>
      <c r="B11" s="18" t="n">
        <v>0.12</v>
      </c>
    </row>
    <row r="12" customFormat="false" ht="16.5" hidden="false" customHeight="true" outlineLevel="0" collapsed="false">
      <c r="A12" s="17" t="s">
        <v>198</v>
      </c>
      <c r="B12" s="18" t="n">
        <v>0.3</v>
      </c>
    </row>
    <row r="13" customFormat="false" ht="16.5" hidden="false" customHeight="true" outlineLevel="0" collapsed="false">
      <c r="A13" s="17" t="s">
        <v>199</v>
      </c>
      <c r="B13" s="8" t="n">
        <f aca="false">IF(B10="簡單",B12,B11)</f>
        <v>0.12</v>
      </c>
    </row>
    <row r="14" customFormat="false" ht="16.5" hidden="false" customHeight="true" outlineLevel="0" collapsed="false">
      <c r="A14" s="17" t="s">
        <v>200</v>
      </c>
      <c r="B14" s="18" t="n">
        <v>0.15</v>
      </c>
    </row>
    <row r="15" customFormat="false" ht="16.5" hidden="false" customHeight="true" outlineLevel="0" collapsed="false">
      <c r="A15" s="17" t="s">
        <v>201</v>
      </c>
      <c r="B15" s="18" t="n">
        <v>35000</v>
      </c>
    </row>
    <row r="16" customFormat="false" ht="16.5" hidden="false" customHeight="true" outlineLevel="0" collapsed="false">
      <c r="A16" s="17" t="s">
        <v>202</v>
      </c>
      <c r="B16" s="18" t="n">
        <v>6000</v>
      </c>
    </row>
    <row r="19" customFormat="false" ht="79.5" hidden="false" customHeight="true" outlineLevel="0" collapsed="false">
      <c r="A19" s="6" t="s">
        <v>164</v>
      </c>
      <c r="B19" s="6" t="s">
        <v>203</v>
      </c>
      <c r="C19" s="6" t="s">
        <v>204</v>
      </c>
      <c r="D19" s="6" t="s">
        <v>205</v>
      </c>
      <c r="E19" s="6" t="s">
        <v>206</v>
      </c>
      <c r="F19" s="6" t="s">
        <v>207</v>
      </c>
      <c r="G19" s="6" t="s">
        <v>183</v>
      </c>
      <c r="H19" s="6" t="s">
        <v>184</v>
      </c>
      <c r="I19" s="6" t="s">
        <v>45</v>
      </c>
    </row>
    <row r="20" customFormat="false" ht="15" hidden="false" customHeight="true" outlineLevel="0" collapsed="false">
      <c r="A20" s="8" t="n">
        <v>1</v>
      </c>
      <c r="B20" s="8" t="n">
        <f aca="false">IF(MOD(A20,$B$7)=0,1,0)</f>
        <v>0</v>
      </c>
      <c r="C20" s="21" t="n">
        <f aca="false">B20*$B$2*$B$8</f>
        <v>0</v>
      </c>
      <c r="D20" s="21" t="n">
        <f aca="false">B20*$B$2*$B$9*$B$13*(1-$B$14)</f>
        <v>0</v>
      </c>
      <c r="E20" s="21" t="n">
        <f aca="false">IF(A20=20,-$B$15,0)+IF(A20=35,$B$16,0)</f>
        <v>0</v>
      </c>
      <c r="F20" s="21" t="n">
        <f aca="false">$B$2*$B$4+$B$5+$B$6</f>
        <v>3150</v>
      </c>
      <c r="G20" s="21" t="n">
        <f aca="false">D20-C20+E20-F20</f>
        <v>-3150</v>
      </c>
      <c r="H20" s="21" t="n">
        <f aca="false">$B$3+G20</f>
        <v>146850</v>
      </c>
      <c r="I20" s="8" t="str">
        <f aca="false">IF(H20&lt;0,"負資產警示","")</f>
        <v/>
      </c>
    </row>
    <row r="21" customFormat="false" ht="15" hidden="false" customHeight="true" outlineLevel="0" collapsed="false">
      <c r="A21" s="8" t="n">
        <v>2</v>
      </c>
      <c r="B21" s="8" t="n">
        <f aca="false">IF(MOD(A21,$B$7)=0,1,0)</f>
        <v>0</v>
      </c>
      <c r="C21" s="21" t="n">
        <f aca="false">B21*$B$2*$B$8</f>
        <v>0</v>
      </c>
      <c r="D21" s="21" t="n">
        <f aca="false">B21*$B$2*$B$9*$B$13*(1-$B$14)</f>
        <v>0</v>
      </c>
      <c r="E21" s="21" t="n">
        <f aca="false">IF(A21=20,-$B$15,0)+IF(A21=35,$B$16,0)</f>
        <v>0</v>
      </c>
      <c r="F21" s="21" t="n">
        <f aca="false">$B$2*$B$4+$B$5+$B$6</f>
        <v>3150</v>
      </c>
      <c r="G21" s="21" t="n">
        <f aca="false">D21-C21+E21-F21</f>
        <v>-3150</v>
      </c>
      <c r="H21" s="21" t="n">
        <f aca="false">H20+G21</f>
        <v>143700</v>
      </c>
      <c r="I21" s="8" t="str">
        <f aca="false">IF(H21&lt;0,"負資產警示","")</f>
        <v/>
      </c>
    </row>
    <row r="22" customFormat="false" ht="15" hidden="false" customHeight="true" outlineLevel="0" collapsed="false">
      <c r="A22" s="8" t="n">
        <v>3</v>
      </c>
      <c r="B22" s="8" t="n">
        <f aca="false">IF(MOD(A22,$B$7)=0,1,0)</f>
        <v>0</v>
      </c>
      <c r="C22" s="21" t="n">
        <f aca="false">B22*$B$2*$B$8</f>
        <v>0</v>
      </c>
      <c r="D22" s="21" t="n">
        <f aca="false">B22*$B$2*$B$9*$B$13*(1-$B$14)</f>
        <v>0</v>
      </c>
      <c r="E22" s="21" t="n">
        <f aca="false">IF(A22=20,-$B$15,0)+IF(A22=35,$B$16,0)</f>
        <v>0</v>
      </c>
      <c r="F22" s="21" t="n">
        <f aca="false">$B$2*$B$4+$B$5+$B$6</f>
        <v>3150</v>
      </c>
      <c r="G22" s="21" t="n">
        <f aca="false">D22-C22+E22-F22</f>
        <v>-3150</v>
      </c>
      <c r="H22" s="21" t="n">
        <f aca="false">H21+G22</f>
        <v>140550</v>
      </c>
      <c r="I22" s="8" t="str">
        <f aca="false">IF(H22&lt;0,"負資產警示","")</f>
        <v/>
      </c>
    </row>
    <row r="23" customFormat="false" ht="15" hidden="false" customHeight="true" outlineLevel="0" collapsed="false">
      <c r="A23" s="8" t="n">
        <v>4</v>
      </c>
      <c r="B23" s="8" t="n">
        <f aca="false">IF(MOD(A23,$B$7)=0,1,0)</f>
        <v>1</v>
      </c>
      <c r="C23" s="21" t="n">
        <f aca="false">B23*$B$2*$B$8</f>
        <v>4000</v>
      </c>
      <c r="D23" s="21" t="n">
        <f aca="false">B23*$B$2*$B$9*$B$13*(1-$B$14)</f>
        <v>7650</v>
      </c>
      <c r="E23" s="21" t="n">
        <f aca="false">IF(A23=20,-$B$15,0)+IF(A23=35,$B$16,0)</f>
        <v>0</v>
      </c>
      <c r="F23" s="21" t="n">
        <f aca="false">$B$2*$B$4+$B$5+$B$6</f>
        <v>3150</v>
      </c>
      <c r="G23" s="21" t="n">
        <f aca="false">D23-C23+E23-F23</f>
        <v>500</v>
      </c>
      <c r="H23" s="21" t="n">
        <f aca="false">H22+G23</f>
        <v>141050</v>
      </c>
      <c r="I23" s="8" t="str">
        <f aca="false">IF(H23&lt;0,"負資產警示","")</f>
        <v/>
      </c>
    </row>
    <row r="24" customFormat="false" ht="15" hidden="false" customHeight="true" outlineLevel="0" collapsed="false">
      <c r="A24" s="8" t="n">
        <v>5</v>
      </c>
      <c r="B24" s="8" t="n">
        <f aca="false">IF(MOD(A24,$B$7)=0,1,0)</f>
        <v>0</v>
      </c>
      <c r="C24" s="21" t="n">
        <f aca="false">B24*$B$2*$B$8</f>
        <v>0</v>
      </c>
      <c r="D24" s="21" t="n">
        <f aca="false">B24*$B$2*$B$9*$B$13*(1-$B$14)</f>
        <v>0</v>
      </c>
      <c r="E24" s="21" t="n">
        <f aca="false">IF(A24=20,-$B$15,0)+IF(A24=35,$B$16,0)</f>
        <v>0</v>
      </c>
      <c r="F24" s="21" t="n">
        <f aca="false">$B$2*$B$4+$B$5+$B$6</f>
        <v>3150</v>
      </c>
      <c r="G24" s="21" t="n">
        <f aca="false">D24-C24+E24-F24</f>
        <v>-3150</v>
      </c>
      <c r="H24" s="21" t="n">
        <f aca="false">H23+G24</f>
        <v>137900</v>
      </c>
      <c r="I24" s="8" t="str">
        <f aca="false">IF(H24&lt;0,"負資產警示","")</f>
        <v/>
      </c>
    </row>
    <row r="25" customFormat="false" ht="15" hidden="false" customHeight="true" outlineLevel="0" collapsed="false">
      <c r="A25" s="8" t="n">
        <v>6</v>
      </c>
      <c r="B25" s="8" t="n">
        <f aca="false">IF(MOD(A25,$B$7)=0,1,0)</f>
        <v>0</v>
      </c>
      <c r="C25" s="21" t="n">
        <f aca="false">B25*$B$2*$B$8</f>
        <v>0</v>
      </c>
      <c r="D25" s="21" t="n">
        <f aca="false">B25*$B$2*$B$9*$B$13*(1-$B$14)</f>
        <v>0</v>
      </c>
      <c r="E25" s="21" t="n">
        <f aca="false">IF(A25=20,-$B$15,0)+IF(A25=35,$B$16,0)</f>
        <v>0</v>
      </c>
      <c r="F25" s="21" t="n">
        <f aca="false">$B$2*$B$4+$B$5+$B$6</f>
        <v>3150</v>
      </c>
      <c r="G25" s="21" t="n">
        <f aca="false">D25-C25+E25-F25</f>
        <v>-3150</v>
      </c>
      <c r="H25" s="21" t="n">
        <f aca="false">H24+G25</f>
        <v>134750</v>
      </c>
      <c r="I25" s="8" t="str">
        <f aca="false">IF(H25&lt;0,"負資產警示","")</f>
        <v/>
      </c>
    </row>
    <row r="26" customFormat="false" ht="15" hidden="false" customHeight="true" outlineLevel="0" collapsed="false">
      <c r="A26" s="8" t="n">
        <v>7</v>
      </c>
      <c r="B26" s="8" t="n">
        <f aca="false">IF(MOD(A26,$B$7)=0,1,0)</f>
        <v>0</v>
      </c>
      <c r="C26" s="21" t="n">
        <f aca="false">B26*$B$2*$B$8</f>
        <v>0</v>
      </c>
      <c r="D26" s="21" t="n">
        <f aca="false">B26*$B$2*$B$9*$B$13*(1-$B$14)</f>
        <v>0</v>
      </c>
      <c r="E26" s="21" t="n">
        <f aca="false">IF(A26=20,-$B$15,0)+IF(A26=35,$B$16,0)</f>
        <v>0</v>
      </c>
      <c r="F26" s="21" t="n">
        <f aca="false">$B$2*$B$4+$B$5+$B$6</f>
        <v>3150</v>
      </c>
      <c r="G26" s="21" t="n">
        <f aca="false">D26-C26+E26-F26</f>
        <v>-3150</v>
      </c>
      <c r="H26" s="21" t="n">
        <f aca="false">H25+G26</f>
        <v>131600</v>
      </c>
      <c r="I26" s="8" t="str">
        <f aca="false">IF(H26&lt;0,"負資產警示","")</f>
        <v/>
      </c>
    </row>
    <row r="27" customFormat="false" ht="15" hidden="false" customHeight="true" outlineLevel="0" collapsed="false">
      <c r="A27" s="8" t="n">
        <v>8</v>
      </c>
      <c r="B27" s="8" t="n">
        <f aca="false">IF(MOD(A27,$B$7)=0,1,0)</f>
        <v>1</v>
      </c>
      <c r="C27" s="21" t="n">
        <f aca="false">B27*$B$2*$B$8</f>
        <v>4000</v>
      </c>
      <c r="D27" s="21" t="n">
        <f aca="false">B27*$B$2*$B$9*$B$13*(1-$B$14)</f>
        <v>7650</v>
      </c>
      <c r="E27" s="21" t="n">
        <f aca="false">IF(A27=20,-$B$15,0)+IF(A27=35,$B$16,0)</f>
        <v>0</v>
      </c>
      <c r="F27" s="21" t="n">
        <f aca="false">$B$2*$B$4+$B$5+$B$6</f>
        <v>3150</v>
      </c>
      <c r="G27" s="21" t="n">
        <f aca="false">D27-C27+E27-F27</f>
        <v>500</v>
      </c>
      <c r="H27" s="21" t="n">
        <f aca="false">H26+G27</f>
        <v>132100</v>
      </c>
      <c r="I27" s="8" t="str">
        <f aca="false">IF(H27&lt;0,"負資產警示","")</f>
        <v/>
      </c>
    </row>
    <row r="28" customFormat="false" ht="15" hidden="false" customHeight="true" outlineLevel="0" collapsed="false">
      <c r="A28" s="8" t="n">
        <v>9</v>
      </c>
      <c r="B28" s="8" t="n">
        <f aca="false">IF(MOD(A28,$B$7)=0,1,0)</f>
        <v>0</v>
      </c>
      <c r="C28" s="21" t="n">
        <f aca="false">B28*$B$2*$B$8</f>
        <v>0</v>
      </c>
      <c r="D28" s="21" t="n">
        <f aca="false">B28*$B$2*$B$9*$B$13*(1-$B$14)</f>
        <v>0</v>
      </c>
      <c r="E28" s="21" t="n">
        <f aca="false">IF(A28=20,-$B$15,0)+IF(A28=35,$B$16,0)</f>
        <v>0</v>
      </c>
      <c r="F28" s="21" t="n">
        <f aca="false">$B$2*$B$4+$B$5+$B$6</f>
        <v>3150</v>
      </c>
      <c r="G28" s="21" t="n">
        <f aca="false">D28-C28+E28-F28</f>
        <v>-3150</v>
      </c>
      <c r="H28" s="21" t="n">
        <f aca="false">H27+G28</f>
        <v>128950</v>
      </c>
      <c r="I28" s="8" t="str">
        <f aca="false">IF(H28&lt;0,"負資產警示","")</f>
        <v/>
      </c>
    </row>
    <row r="29" customFormat="false" ht="15" hidden="false" customHeight="true" outlineLevel="0" collapsed="false">
      <c r="A29" s="8" t="n">
        <v>10</v>
      </c>
      <c r="B29" s="8" t="n">
        <f aca="false">IF(MOD(A29,$B$7)=0,1,0)</f>
        <v>0</v>
      </c>
      <c r="C29" s="21" t="n">
        <f aca="false">B29*$B$2*$B$8</f>
        <v>0</v>
      </c>
      <c r="D29" s="21" t="n">
        <f aca="false">B29*$B$2*$B$9*$B$13*(1-$B$14)</f>
        <v>0</v>
      </c>
      <c r="E29" s="21" t="n">
        <f aca="false">IF(A29=20,-$B$15,0)+IF(A29=35,$B$16,0)</f>
        <v>0</v>
      </c>
      <c r="F29" s="21" t="n">
        <f aca="false">$B$2*$B$4+$B$5+$B$6</f>
        <v>3150</v>
      </c>
      <c r="G29" s="21" t="n">
        <f aca="false">D29-C29+E29-F29</f>
        <v>-3150</v>
      </c>
      <c r="H29" s="21" t="n">
        <f aca="false">H28+G29</f>
        <v>125800</v>
      </c>
      <c r="I29" s="8" t="str">
        <f aca="false">IF(H29&lt;0,"負資產警示","")</f>
        <v/>
      </c>
    </row>
    <row r="30" customFormat="false" ht="15" hidden="false" customHeight="true" outlineLevel="0" collapsed="false">
      <c r="A30" s="8" t="n">
        <v>11</v>
      </c>
      <c r="B30" s="8" t="n">
        <f aca="false">IF(MOD(A30,$B$7)=0,1,0)</f>
        <v>0</v>
      </c>
      <c r="C30" s="21" t="n">
        <f aca="false">B30*$B$2*$B$8</f>
        <v>0</v>
      </c>
      <c r="D30" s="21" t="n">
        <f aca="false">B30*$B$2*$B$9*$B$13*(1-$B$14)</f>
        <v>0</v>
      </c>
      <c r="E30" s="21" t="n">
        <f aca="false">IF(A30=20,-$B$15,0)+IF(A30=35,$B$16,0)</f>
        <v>0</v>
      </c>
      <c r="F30" s="21" t="n">
        <f aca="false">$B$2*$B$4+$B$5+$B$6</f>
        <v>3150</v>
      </c>
      <c r="G30" s="21" t="n">
        <f aca="false">D30-C30+E30-F30</f>
        <v>-3150</v>
      </c>
      <c r="H30" s="21" t="n">
        <f aca="false">H29+G30</f>
        <v>122650</v>
      </c>
      <c r="I30" s="8" t="str">
        <f aca="false">IF(H30&lt;0,"負資產警示","")</f>
        <v/>
      </c>
    </row>
    <row r="31" customFormat="false" ht="15" hidden="false" customHeight="true" outlineLevel="0" collapsed="false">
      <c r="A31" s="8" t="n">
        <v>12</v>
      </c>
      <c r="B31" s="8" t="n">
        <f aca="false">IF(MOD(A31,$B$7)=0,1,0)</f>
        <v>1</v>
      </c>
      <c r="C31" s="21" t="n">
        <f aca="false">B31*$B$2*$B$8</f>
        <v>4000</v>
      </c>
      <c r="D31" s="21" t="n">
        <f aca="false">B31*$B$2*$B$9*$B$13*(1-$B$14)</f>
        <v>7650</v>
      </c>
      <c r="E31" s="21" t="n">
        <f aca="false">IF(A31=20,-$B$15,0)+IF(A31=35,$B$16,0)</f>
        <v>0</v>
      </c>
      <c r="F31" s="21" t="n">
        <f aca="false">$B$2*$B$4+$B$5+$B$6</f>
        <v>3150</v>
      </c>
      <c r="G31" s="21" t="n">
        <f aca="false">D31-C31+E31-F31</f>
        <v>500</v>
      </c>
      <c r="H31" s="21" t="n">
        <f aca="false">H30+G31</f>
        <v>123150</v>
      </c>
      <c r="I31" s="8" t="str">
        <f aca="false">IF(H31&lt;0,"負資產警示","")</f>
        <v/>
      </c>
    </row>
    <row r="32" customFormat="false" ht="15" hidden="false" customHeight="true" outlineLevel="0" collapsed="false">
      <c r="A32" s="8" t="n">
        <v>13</v>
      </c>
      <c r="B32" s="8" t="n">
        <f aca="false">IF(MOD(A32,$B$7)=0,1,0)</f>
        <v>0</v>
      </c>
      <c r="C32" s="21" t="n">
        <f aca="false">B32*$B$2*$B$8</f>
        <v>0</v>
      </c>
      <c r="D32" s="21" t="n">
        <f aca="false">B32*$B$2*$B$9*$B$13*(1-$B$14)</f>
        <v>0</v>
      </c>
      <c r="E32" s="21" t="n">
        <f aca="false">IF(A32=20,-$B$15,0)+IF(A32=35,$B$16,0)</f>
        <v>0</v>
      </c>
      <c r="F32" s="21" t="n">
        <f aca="false">$B$2*$B$4+$B$5+$B$6</f>
        <v>3150</v>
      </c>
      <c r="G32" s="21" t="n">
        <f aca="false">D32-C32+E32-F32</f>
        <v>-3150</v>
      </c>
      <c r="H32" s="21" t="n">
        <f aca="false">H31+G32</f>
        <v>120000</v>
      </c>
      <c r="I32" s="8" t="str">
        <f aca="false">IF(H32&lt;0,"負資產警示","")</f>
        <v/>
      </c>
    </row>
    <row r="33" customFormat="false" ht="15" hidden="false" customHeight="true" outlineLevel="0" collapsed="false">
      <c r="A33" s="8" t="n">
        <v>14</v>
      </c>
      <c r="B33" s="8" t="n">
        <f aca="false">IF(MOD(A33,$B$7)=0,1,0)</f>
        <v>0</v>
      </c>
      <c r="C33" s="21" t="n">
        <f aca="false">B33*$B$2*$B$8</f>
        <v>0</v>
      </c>
      <c r="D33" s="21" t="n">
        <f aca="false">B33*$B$2*$B$9*$B$13*(1-$B$14)</f>
        <v>0</v>
      </c>
      <c r="E33" s="21" t="n">
        <f aca="false">IF(A33=20,-$B$15,0)+IF(A33=35,$B$16,0)</f>
        <v>0</v>
      </c>
      <c r="F33" s="21" t="n">
        <f aca="false">$B$2*$B$4+$B$5+$B$6</f>
        <v>3150</v>
      </c>
      <c r="G33" s="21" t="n">
        <f aca="false">D33-C33+E33-F33</f>
        <v>-3150</v>
      </c>
      <c r="H33" s="21" t="n">
        <f aca="false">H32+G33</f>
        <v>116850</v>
      </c>
      <c r="I33" s="8" t="str">
        <f aca="false">IF(H33&lt;0,"負資產警示","")</f>
        <v/>
      </c>
    </row>
    <row r="34" customFormat="false" ht="15" hidden="false" customHeight="true" outlineLevel="0" collapsed="false">
      <c r="A34" s="8" t="n">
        <v>15</v>
      </c>
      <c r="B34" s="8" t="n">
        <f aca="false">IF(MOD(A34,$B$7)=0,1,0)</f>
        <v>0</v>
      </c>
      <c r="C34" s="21" t="n">
        <f aca="false">B34*$B$2*$B$8</f>
        <v>0</v>
      </c>
      <c r="D34" s="21" t="n">
        <f aca="false">B34*$B$2*$B$9*$B$13*(1-$B$14)</f>
        <v>0</v>
      </c>
      <c r="E34" s="21" t="n">
        <f aca="false">IF(A34=20,-$B$15,0)+IF(A34=35,$B$16,0)</f>
        <v>0</v>
      </c>
      <c r="F34" s="21" t="n">
        <f aca="false">$B$2*$B$4+$B$5+$B$6</f>
        <v>3150</v>
      </c>
      <c r="G34" s="21" t="n">
        <f aca="false">D34-C34+E34-F34</f>
        <v>-3150</v>
      </c>
      <c r="H34" s="21" t="n">
        <f aca="false">H33+G34</f>
        <v>113700</v>
      </c>
      <c r="I34" s="8" t="str">
        <f aca="false">IF(H34&lt;0,"負資產警示","")</f>
        <v/>
      </c>
    </row>
    <row r="35" customFormat="false" ht="15" hidden="false" customHeight="true" outlineLevel="0" collapsed="false">
      <c r="A35" s="8" t="n">
        <v>16</v>
      </c>
      <c r="B35" s="8" t="n">
        <f aca="false">IF(MOD(A35,$B$7)=0,1,0)</f>
        <v>1</v>
      </c>
      <c r="C35" s="21" t="n">
        <f aca="false">B35*$B$2*$B$8</f>
        <v>4000</v>
      </c>
      <c r="D35" s="21" t="n">
        <f aca="false">B35*$B$2*$B$9*$B$13*(1-$B$14)</f>
        <v>7650</v>
      </c>
      <c r="E35" s="21" t="n">
        <f aca="false">IF(A35=20,-$B$15,0)+IF(A35=35,$B$16,0)</f>
        <v>0</v>
      </c>
      <c r="F35" s="21" t="n">
        <f aca="false">$B$2*$B$4+$B$5+$B$6</f>
        <v>3150</v>
      </c>
      <c r="G35" s="21" t="n">
        <f aca="false">D35-C35+E35-F35</f>
        <v>500</v>
      </c>
      <c r="H35" s="21" t="n">
        <f aca="false">H34+G35</f>
        <v>114200</v>
      </c>
      <c r="I35" s="8" t="str">
        <f aca="false">IF(H35&lt;0,"負資產警示","")</f>
        <v/>
      </c>
    </row>
    <row r="36" customFormat="false" ht="15" hidden="false" customHeight="true" outlineLevel="0" collapsed="false">
      <c r="A36" s="8" t="n">
        <v>17</v>
      </c>
      <c r="B36" s="8" t="n">
        <f aca="false">IF(MOD(A36,$B$7)=0,1,0)</f>
        <v>0</v>
      </c>
      <c r="C36" s="21" t="n">
        <f aca="false">B36*$B$2*$B$8</f>
        <v>0</v>
      </c>
      <c r="D36" s="21" t="n">
        <f aca="false">B36*$B$2*$B$9*$B$13*(1-$B$14)</f>
        <v>0</v>
      </c>
      <c r="E36" s="21" t="n">
        <f aca="false">IF(A36=20,-$B$15,0)+IF(A36=35,$B$16,0)</f>
        <v>0</v>
      </c>
      <c r="F36" s="21" t="n">
        <f aca="false">$B$2*$B$4+$B$5+$B$6</f>
        <v>3150</v>
      </c>
      <c r="G36" s="21" t="n">
        <f aca="false">D36-C36+E36-F36</f>
        <v>-3150</v>
      </c>
      <c r="H36" s="21" t="n">
        <f aca="false">H35+G36</f>
        <v>111050</v>
      </c>
      <c r="I36" s="8" t="str">
        <f aca="false">IF(H36&lt;0,"負資產警示","")</f>
        <v/>
      </c>
    </row>
    <row r="37" customFormat="false" ht="15" hidden="false" customHeight="true" outlineLevel="0" collapsed="false">
      <c r="A37" s="8" t="n">
        <v>18</v>
      </c>
      <c r="B37" s="8" t="n">
        <f aca="false">IF(MOD(A37,$B$7)=0,1,0)</f>
        <v>0</v>
      </c>
      <c r="C37" s="21" t="n">
        <f aca="false">B37*$B$2*$B$8</f>
        <v>0</v>
      </c>
      <c r="D37" s="21" t="n">
        <f aca="false">B37*$B$2*$B$9*$B$13*(1-$B$14)</f>
        <v>0</v>
      </c>
      <c r="E37" s="21" t="n">
        <f aca="false">IF(A37=20,-$B$15,0)+IF(A37=35,$B$16,0)</f>
        <v>0</v>
      </c>
      <c r="F37" s="21" t="n">
        <f aca="false">$B$2*$B$4+$B$5+$B$6</f>
        <v>3150</v>
      </c>
      <c r="G37" s="21" t="n">
        <f aca="false">D37-C37+E37-F37</f>
        <v>-3150</v>
      </c>
      <c r="H37" s="21" t="n">
        <f aca="false">H36+G37</f>
        <v>107900</v>
      </c>
      <c r="I37" s="8" t="str">
        <f aca="false">IF(H37&lt;0,"負資產警示","")</f>
        <v/>
      </c>
    </row>
    <row r="38" customFormat="false" ht="15" hidden="false" customHeight="true" outlineLevel="0" collapsed="false">
      <c r="A38" s="8" t="n">
        <v>19</v>
      </c>
      <c r="B38" s="8" t="n">
        <f aca="false">IF(MOD(A38,$B$7)=0,1,0)</f>
        <v>0</v>
      </c>
      <c r="C38" s="21" t="n">
        <f aca="false">B38*$B$2*$B$8</f>
        <v>0</v>
      </c>
      <c r="D38" s="21" t="n">
        <f aca="false">B38*$B$2*$B$9*$B$13*(1-$B$14)</f>
        <v>0</v>
      </c>
      <c r="E38" s="21" t="n">
        <f aca="false">IF(A38=20,-$B$15,0)+IF(A38=35,$B$16,0)</f>
        <v>0</v>
      </c>
      <c r="F38" s="21" t="n">
        <f aca="false">$B$2*$B$4+$B$5+$B$6</f>
        <v>3150</v>
      </c>
      <c r="G38" s="21" t="n">
        <f aca="false">D38-C38+E38-F38</f>
        <v>-3150</v>
      </c>
      <c r="H38" s="21" t="n">
        <f aca="false">H37+G38</f>
        <v>104750</v>
      </c>
      <c r="I38" s="8" t="str">
        <f aca="false">IF(H38&lt;0,"負資產警示","")</f>
        <v/>
      </c>
    </row>
    <row r="39" customFormat="false" ht="15" hidden="false" customHeight="true" outlineLevel="0" collapsed="false">
      <c r="A39" s="8" t="n">
        <v>20</v>
      </c>
      <c r="B39" s="8" t="n">
        <f aca="false">IF(MOD(A39,$B$7)=0,1,0)</f>
        <v>1</v>
      </c>
      <c r="C39" s="21" t="n">
        <f aca="false">B39*$B$2*$B$8</f>
        <v>4000</v>
      </c>
      <c r="D39" s="21" t="n">
        <f aca="false">B39*$B$2*$B$9*$B$13*(1-$B$14)</f>
        <v>7650</v>
      </c>
      <c r="E39" s="21" t="n">
        <f aca="false">IF(A39=20,-$B$15,0)+IF(A39=35,$B$16,0)</f>
        <v>-35000</v>
      </c>
      <c r="F39" s="21" t="n">
        <f aca="false">$B$2*$B$4+$B$5+$B$6</f>
        <v>3150</v>
      </c>
      <c r="G39" s="21" t="n">
        <f aca="false">D39-C39+E39-F39</f>
        <v>-34500</v>
      </c>
      <c r="H39" s="21" t="n">
        <f aca="false">H38+G39</f>
        <v>70250</v>
      </c>
      <c r="I39" s="8" t="str">
        <f aca="false">IF(H39&lt;0,"負資產警示","")</f>
        <v/>
      </c>
    </row>
    <row r="40" customFormat="false" ht="15" hidden="false" customHeight="true" outlineLevel="0" collapsed="false">
      <c r="A40" s="8" t="n">
        <v>21</v>
      </c>
      <c r="B40" s="8" t="n">
        <f aca="false">IF(MOD(A40,$B$7)=0,1,0)</f>
        <v>0</v>
      </c>
      <c r="C40" s="21" t="n">
        <f aca="false">B40*$B$2*$B$8</f>
        <v>0</v>
      </c>
      <c r="D40" s="21" t="n">
        <f aca="false">B40*$B$2*$B$9*$B$13*(1-$B$14)</f>
        <v>0</v>
      </c>
      <c r="E40" s="21" t="n">
        <f aca="false">IF(A40=20,-$B$15,0)+IF(A40=35,$B$16,0)</f>
        <v>0</v>
      </c>
      <c r="F40" s="21" t="n">
        <f aca="false">$B$2*$B$4+$B$5+$B$6</f>
        <v>3150</v>
      </c>
      <c r="G40" s="21" t="n">
        <f aca="false">D40-C40+E40-F40</f>
        <v>-3150</v>
      </c>
      <c r="H40" s="21" t="n">
        <f aca="false">H39+G40</f>
        <v>67100</v>
      </c>
      <c r="I40" s="8" t="str">
        <f aca="false">IF(H40&lt;0,"負資產警示","")</f>
        <v/>
      </c>
    </row>
    <row r="41" customFormat="false" ht="15" hidden="false" customHeight="true" outlineLevel="0" collapsed="false">
      <c r="A41" s="8" t="n">
        <v>22</v>
      </c>
      <c r="B41" s="8" t="n">
        <f aca="false">IF(MOD(A41,$B$7)=0,1,0)</f>
        <v>0</v>
      </c>
      <c r="C41" s="21" t="n">
        <f aca="false">B41*$B$2*$B$8</f>
        <v>0</v>
      </c>
      <c r="D41" s="21" t="n">
        <f aca="false">B41*$B$2*$B$9*$B$13*(1-$B$14)</f>
        <v>0</v>
      </c>
      <c r="E41" s="21" t="n">
        <f aca="false">IF(A41=20,-$B$15,0)+IF(A41=35,$B$16,0)</f>
        <v>0</v>
      </c>
      <c r="F41" s="21" t="n">
        <f aca="false">$B$2*$B$4+$B$5+$B$6</f>
        <v>3150</v>
      </c>
      <c r="G41" s="21" t="n">
        <f aca="false">D41-C41+E41-F41</f>
        <v>-3150</v>
      </c>
      <c r="H41" s="21" t="n">
        <f aca="false">H40+G41</f>
        <v>63950</v>
      </c>
      <c r="I41" s="8" t="str">
        <f aca="false">IF(H41&lt;0,"負資產警示","")</f>
        <v/>
      </c>
    </row>
    <row r="42" customFormat="false" ht="15" hidden="false" customHeight="true" outlineLevel="0" collapsed="false">
      <c r="A42" s="8" t="n">
        <v>23</v>
      </c>
      <c r="B42" s="8" t="n">
        <f aca="false">IF(MOD(A42,$B$7)=0,1,0)</f>
        <v>0</v>
      </c>
      <c r="C42" s="21" t="n">
        <f aca="false">B42*$B$2*$B$8</f>
        <v>0</v>
      </c>
      <c r="D42" s="21" t="n">
        <f aca="false">B42*$B$2*$B$9*$B$13*(1-$B$14)</f>
        <v>0</v>
      </c>
      <c r="E42" s="21" t="n">
        <f aca="false">IF(A42=20,-$B$15,0)+IF(A42=35,$B$16,0)</f>
        <v>0</v>
      </c>
      <c r="F42" s="21" t="n">
        <f aca="false">$B$2*$B$4+$B$5+$B$6</f>
        <v>3150</v>
      </c>
      <c r="G42" s="21" t="n">
        <f aca="false">D42-C42+E42-F42</f>
        <v>-3150</v>
      </c>
      <c r="H42" s="21" t="n">
        <f aca="false">H41+G42</f>
        <v>60800</v>
      </c>
      <c r="I42" s="8" t="str">
        <f aca="false">IF(H42&lt;0,"負資產警示","")</f>
        <v/>
      </c>
    </row>
    <row r="43" customFormat="false" ht="15" hidden="false" customHeight="true" outlineLevel="0" collapsed="false">
      <c r="A43" s="8" t="n">
        <v>24</v>
      </c>
      <c r="B43" s="8" t="n">
        <f aca="false">IF(MOD(A43,$B$7)=0,1,0)</f>
        <v>1</v>
      </c>
      <c r="C43" s="21" t="n">
        <f aca="false">B43*$B$2*$B$8</f>
        <v>4000</v>
      </c>
      <c r="D43" s="21" t="n">
        <f aca="false">B43*$B$2*$B$9*$B$13*(1-$B$14)</f>
        <v>7650</v>
      </c>
      <c r="E43" s="21" t="n">
        <f aca="false">IF(A43=20,-$B$15,0)+IF(A43=35,$B$16,0)</f>
        <v>0</v>
      </c>
      <c r="F43" s="21" t="n">
        <f aca="false">$B$2*$B$4+$B$5+$B$6</f>
        <v>3150</v>
      </c>
      <c r="G43" s="21" t="n">
        <f aca="false">D43-C43+E43-F43</f>
        <v>500</v>
      </c>
      <c r="H43" s="21" t="n">
        <f aca="false">H42+G43</f>
        <v>61300</v>
      </c>
      <c r="I43" s="8" t="str">
        <f aca="false">IF(H43&lt;0,"負資產警示","")</f>
        <v/>
      </c>
    </row>
    <row r="44" customFormat="false" ht="15" hidden="false" customHeight="true" outlineLevel="0" collapsed="false">
      <c r="A44" s="8" t="n">
        <v>25</v>
      </c>
      <c r="B44" s="8" t="n">
        <f aca="false">IF(MOD(A44,$B$7)=0,1,0)</f>
        <v>0</v>
      </c>
      <c r="C44" s="21" t="n">
        <f aca="false">B44*$B$2*$B$8</f>
        <v>0</v>
      </c>
      <c r="D44" s="21" t="n">
        <f aca="false">B44*$B$2*$B$9*$B$13*(1-$B$14)</f>
        <v>0</v>
      </c>
      <c r="E44" s="21" t="n">
        <f aca="false">IF(A44=20,-$B$15,0)+IF(A44=35,$B$16,0)</f>
        <v>0</v>
      </c>
      <c r="F44" s="21" t="n">
        <f aca="false">$B$2*$B$4+$B$5+$B$6</f>
        <v>3150</v>
      </c>
      <c r="G44" s="21" t="n">
        <f aca="false">D44-C44+E44-F44</f>
        <v>-3150</v>
      </c>
      <c r="H44" s="21" t="n">
        <f aca="false">H43+G44</f>
        <v>58150</v>
      </c>
      <c r="I44" s="8" t="str">
        <f aca="false">IF(H44&lt;0,"負資產警示","")</f>
        <v/>
      </c>
    </row>
    <row r="45" customFormat="false" ht="15" hidden="false" customHeight="true" outlineLevel="0" collapsed="false">
      <c r="A45" s="8" t="n">
        <v>26</v>
      </c>
      <c r="B45" s="8" t="n">
        <f aca="false">IF(MOD(A45,$B$7)=0,1,0)</f>
        <v>0</v>
      </c>
      <c r="C45" s="21" t="n">
        <f aca="false">B45*$B$2*$B$8</f>
        <v>0</v>
      </c>
      <c r="D45" s="21" t="n">
        <f aca="false">B45*$B$2*$B$9*$B$13*(1-$B$14)</f>
        <v>0</v>
      </c>
      <c r="E45" s="21" t="n">
        <f aca="false">IF(A45=20,-$B$15,0)+IF(A45=35,$B$16,0)</f>
        <v>0</v>
      </c>
      <c r="F45" s="21" t="n">
        <f aca="false">$B$2*$B$4+$B$5+$B$6</f>
        <v>3150</v>
      </c>
      <c r="G45" s="21" t="n">
        <f aca="false">D45-C45+E45-F45</f>
        <v>-3150</v>
      </c>
      <c r="H45" s="21" t="n">
        <f aca="false">H44+G45</f>
        <v>55000</v>
      </c>
      <c r="I45" s="8" t="str">
        <f aca="false">IF(H45&lt;0,"負資產警示","")</f>
        <v/>
      </c>
    </row>
    <row r="46" customFormat="false" ht="15" hidden="false" customHeight="true" outlineLevel="0" collapsed="false">
      <c r="A46" s="8" t="n">
        <v>27</v>
      </c>
      <c r="B46" s="8" t="n">
        <f aca="false">IF(MOD(A46,$B$7)=0,1,0)</f>
        <v>0</v>
      </c>
      <c r="C46" s="21" t="n">
        <f aca="false">B46*$B$2*$B$8</f>
        <v>0</v>
      </c>
      <c r="D46" s="21" t="n">
        <f aca="false">B46*$B$2*$B$9*$B$13*(1-$B$14)</f>
        <v>0</v>
      </c>
      <c r="E46" s="21" t="n">
        <f aca="false">IF(A46=20,-$B$15,0)+IF(A46=35,$B$16,0)</f>
        <v>0</v>
      </c>
      <c r="F46" s="21" t="n">
        <f aca="false">$B$2*$B$4+$B$5+$B$6</f>
        <v>3150</v>
      </c>
      <c r="G46" s="21" t="n">
        <f aca="false">D46-C46+E46-F46</f>
        <v>-3150</v>
      </c>
      <c r="H46" s="21" t="n">
        <f aca="false">H45+G46</f>
        <v>51850</v>
      </c>
      <c r="I46" s="8" t="str">
        <f aca="false">IF(H46&lt;0,"負資產警示","")</f>
        <v/>
      </c>
    </row>
    <row r="47" customFormat="false" ht="15" hidden="false" customHeight="true" outlineLevel="0" collapsed="false">
      <c r="A47" s="8" t="n">
        <v>28</v>
      </c>
      <c r="B47" s="8" t="n">
        <f aca="false">IF(MOD(A47,$B$7)=0,1,0)</f>
        <v>1</v>
      </c>
      <c r="C47" s="21" t="n">
        <f aca="false">B47*$B$2*$B$8</f>
        <v>4000</v>
      </c>
      <c r="D47" s="21" t="n">
        <f aca="false">B47*$B$2*$B$9*$B$13*(1-$B$14)</f>
        <v>7650</v>
      </c>
      <c r="E47" s="21" t="n">
        <f aca="false">IF(A47=20,-$B$15,0)+IF(A47=35,$B$16,0)</f>
        <v>0</v>
      </c>
      <c r="F47" s="21" t="n">
        <f aca="false">$B$2*$B$4+$B$5+$B$6</f>
        <v>3150</v>
      </c>
      <c r="G47" s="21" t="n">
        <f aca="false">D47-C47+E47-F47</f>
        <v>500</v>
      </c>
      <c r="H47" s="21" t="n">
        <f aca="false">H46+G47</f>
        <v>52350</v>
      </c>
      <c r="I47" s="8" t="str">
        <f aca="false">IF(H47&lt;0,"負資產警示","")</f>
        <v/>
      </c>
    </row>
    <row r="48" customFormat="false" ht="15" hidden="false" customHeight="true" outlineLevel="0" collapsed="false">
      <c r="A48" s="8" t="n">
        <v>29</v>
      </c>
      <c r="B48" s="8" t="n">
        <f aca="false">IF(MOD(A48,$B$7)=0,1,0)</f>
        <v>0</v>
      </c>
      <c r="C48" s="21" t="n">
        <f aca="false">B48*$B$2*$B$8</f>
        <v>0</v>
      </c>
      <c r="D48" s="21" t="n">
        <f aca="false">B48*$B$2*$B$9*$B$13*(1-$B$14)</f>
        <v>0</v>
      </c>
      <c r="E48" s="21" t="n">
        <f aca="false">IF(A48=20,-$B$15,0)+IF(A48=35,$B$16,0)</f>
        <v>0</v>
      </c>
      <c r="F48" s="21" t="n">
        <f aca="false">$B$2*$B$4+$B$5+$B$6</f>
        <v>3150</v>
      </c>
      <c r="G48" s="21" t="n">
        <f aca="false">D48-C48+E48-F48</f>
        <v>-3150</v>
      </c>
      <c r="H48" s="21" t="n">
        <f aca="false">H47+G48</f>
        <v>49200</v>
      </c>
      <c r="I48" s="8" t="str">
        <f aca="false">IF(H48&lt;0,"負資產警示","")</f>
        <v/>
      </c>
    </row>
    <row r="49" customFormat="false" ht="15" hidden="false" customHeight="true" outlineLevel="0" collapsed="false">
      <c r="A49" s="8" t="n">
        <v>30</v>
      </c>
      <c r="B49" s="8" t="n">
        <f aca="false">IF(MOD(A49,$B$7)=0,1,0)</f>
        <v>0</v>
      </c>
      <c r="C49" s="21" t="n">
        <f aca="false">B49*$B$2*$B$8</f>
        <v>0</v>
      </c>
      <c r="D49" s="21" t="n">
        <f aca="false">B49*$B$2*$B$9*$B$13*(1-$B$14)</f>
        <v>0</v>
      </c>
      <c r="E49" s="21" t="n">
        <f aca="false">IF(A49=20,-$B$15,0)+IF(A49=35,$B$16,0)</f>
        <v>0</v>
      </c>
      <c r="F49" s="21" t="n">
        <f aca="false">$B$2*$B$4+$B$5+$B$6</f>
        <v>3150</v>
      </c>
      <c r="G49" s="21" t="n">
        <f aca="false">D49-C49+E49-F49</f>
        <v>-3150</v>
      </c>
      <c r="H49" s="21" t="n">
        <f aca="false">H48+G49</f>
        <v>46050</v>
      </c>
      <c r="I49" s="8" t="str">
        <f aca="false">IF(H49&lt;0,"負資產警示","")</f>
        <v/>
      </c>
    </row>
    <row r="50" customFormat="false" ht="15" hidden="false" customHeight="true" outlineLevel="0" collapsed="false">
      <c r="A50" s="8" t="n">
        <v>31</v>
      </c>
      <c r="B50" s="8" t="n">
        <f aca="false">IF(MOD(A50,$B$7)=0,1,0)</f>
        <v>0</v>
      </c>
      <c r="C50" s="21" t="n">
        <f aca="false">B50*$B$2*$B$8</f>
        <v>0</v>
      </c>
      <c r="D50" s="21" t="n">
        <f aca="false">B50*$B$2*$B$9*$B$13*(1-$B$14)</f>
        <v>0</v>
      </c>
      <c r="E50" s="21" t="n">
        <f aca="false">IF(A50=20,-$B$15,0)+IF(A50=35,$B$16,0)</f>
        <v>0</v>
      </c>
      <c r="F50" s="21" t="n">
        <f aca="false">$B$2*$B$4+$B$5+$B$6</f>
        <v>3150</v>
      </c>
      <c r="G50" s="21" t="n">
        <f aca="false">D50-C50+E50-F50</f>
        <v>-3150</v>
      </c>
      <c r="H50" s="21" t="n">
        <f aca="false">H49+G50</f>
        <v>42900</v>
      </c>
      <c r="I50" s="8" t="str">
        <f aca="false">IF(H50&lt;0,"負資產警示","")</f>
        <v/>
      </c>
    </row>
    <row r="51" customFormat="false" ht="15" hidden="false" customHeight="true" outlineLevel="0" collapsed="false">
      <c r="A51" s="8" t="n">
        <v>32</v>
      </c>
      <c r="B51" s="8" t="n">
        <f aca="false">IF(MOD(A51,$B$7)=0,1,0)</f>
        <v>1</v>
      </c>
      <c r="C51" s="21" t="n">
        <f aca="false">B51*$B$2*$B$8</f>
        <v>4000</v>
      </c>
      <c r="D51" s="21" t="n">
        <f aca="false">B51*$B$2*$B$9*$B$13*(1-$B$14)</f>
        <v>7650</v>
      </c>
      <c r="E51" s="21" t="n">
        <f aca="false">IF(A51=20,-$B$15,0)+IF(A51=35,$B$16,0)</f>
        <v>0</v>
      </c>
      <c r="F51" s="21" t="n">
        <f aca="false">$B$2*$B$4+$B$5+$B$6</f>
        <v>3150</v>
      </c>
      <c r="G51" s="21" t="n">
        <f aca="false">D51-C51+E51-F51</f>
        <v>500</v>
      </c>
      <c r="H51" s="21" t="n">
        <f aca="false">H50+G51</f>
        <v>43400</v>
      </c>
      <c r="I51" s="8" t="str">
        <f aca="false">IF(H51&lt;0,"負資產警示","")</f>
        <v/>
      </c>
    </row>
    <row r="52" customFormat="false" ht="15" hidden="false" customHeight="true" outlineLevel="0" collapsed="false">
      <c r="A52" s="8" t="n">
        <v>33</v>
      </c>
      <c r="B52" s="8" t="n">
        <f aca="false">IF(MOD(A52,$B$7)=0,1,0)</f>
        <v>0</v>
      </c>
      <c r="C52" s="21" t="n">
        <f aca="false">B52*$B$2*$B$8</f>
        <v>0</v>
      </c>
      <c r="D52" s="21" t="n">
        <f aca="false">B52*$B$2*$B$9*$B$13*(1-$B$14)</f>
        <v>0</v>
      </c>
      <c r="E52" s="21" t="n">
        <f aca="false">IF(A52=20,-$B$15,0)+IF(A52=35,$B$16,0)</f>
        <v>0</v>
      </c>
      <c r="F52" s="21" t="n">
        <f aca="false">$B$2*$B$4+$B$5+$B$6</f>
        <v>3150</v>
      </c>
      <c r="G52" s="21" t="n">
        <f aca="false">D52-C52+E52-F52</f>
        <v>-3150</v>
      </c>
      <c r="H52" s="21" t="n">
        <f aca="false">H51+G52</f>
        <v>40250</v>
      </c>
      <c r="I52" s="8" t="str">
        <f aca="false">IF(H52&lt;0,"負資產警示","")</f>
        <v/>
      </c>
    </row>
    <row r="53" customFormat="false" ht="15" hidden="false" customHeight="true" outlineLevel="0" collapsed="false">
      <c r="A53" s="8" t="n">
        <v>34</v>
      </c>
      <c r="B53" s="8" t="n">
        <f aca="false">IF(MOD(A53,$B$7)=0,1,0)</f>
        <v>0</v>
      </c>
      <c r="C53" s="21" t="n">
        <f aca="false">B53*$B$2*$B$8</f>
        <v>0</v>
      </c>
      <c r="D53" s="21" t="n">
        <f aca="false">B53*$B$2*$B$9*$B$13*(1-$B$14)</f>
        <v>0</v>
      </c>
      <c r="E53" s="21" t="n">
        <f aca="false">IF(A53=20,-$B$15,0)+IF(A53=35,$B$16,0)</f>
        <v>0</v>
      </c>
      <c r="F53" s="21" t="n">
        <f aca="false">$B$2*$B$4+$B$5+$B$6</f>
        <v>3150</v>
      </c>
      <c r="G53" s="21" t="n">
        <f aca="false">D53-C53+E53-F53</f>
        <v>-3150</v>
      </c>
      <c r="H53" s="21" t="n">
        <f aca="false">H52+G53</f>
        <v>37100</v>
      </c>
      <c r="I53" s="8" t="str">
        <f aca="false">IF(H53&lt;0,"負資產警示","")</f>
        <v/>
      </c>
    </row>
    <row r="54" customFormat="false" ht="15" hidden="false" customHeight="true" outlineLevel="0" collapsed="false">
      <c r="A54" s="8" t="n">
        <v>35</v>
      </c>
      <c r="B54" s="8" t="n">
        <f aca="false">IF(MOD(A54,$B$7)=0,1,0)</f>
        <v>0</v>
      </c>
      <c r="C54" s="21" t="n">
        <f aca="false">B54*$B$2*$B$8</f>
        <v>0</v>
      </c>
      <c r="D54" s="21" t="n">
        <f aca="false">B54*$B$2*$B$9*$B$13*(1-$B$14)</f>
        <v>0</v>
      </c>
      <c r="E54" s="21" t="n">
        <f aca="false">IF(A54=20,-$B$15,0)+IF(A54=35,$B$16,0)</f>
        <v>6000</v>
      </c>
      <c r="F54" s="21" t="n">
        <f aca="false">$B$2*$B$4+$B$5+$B$6</f>
        <v>3150</v>
      </c>
      <c r="G54" s="21" t="n">
        <f aca="false">D54-C54+E54-F54</f>
        <v>2850</v>
      </c>
      <c r="H54" s="21" t="n">
        <f aca="false">H53+G54</f>
        <v>39950</v>
      </c>
      <c r="I54" s="8" t="str">
        <f aca="false">IF(H54&lt;0,"負資產警示","")</f>
        <v/>
      </c>
    </row>
    <row r="55" customFormat="false" ht="15" hidden="false" customHeight="true" outlineLevel="0" collapsed="false">
      <c r="A55" s="8" t="n">
        <v>36</v>
      </c>
      <c r="B55" s="8" t="n">
        <f aca="false">IF(MOD(A55,$B$7)=0,1,0)</f>
        <v>1</v>
      </c>
      <c r="C55" s="21" t="n">
        <f aca="false">B55*$B$2*$B$8</f>
        <v>4000</v>
      </c>
      <c r="D55" s="21" t="n">
        <f aca="false">B55*$B$2*$B$9*$B$13*(1-$B$14)</f>
        <v>7650</v>
      </c>
      <c r="E55" s="21" t="n">
        <f aca="false">IF(A55=20,-$B$15,0)+IF(A55=35,$B$16,0)</f>
        <v>0</v>
      </c>
      <c r="F55" s="21" t="n">
        <f aca="false">$B$2*$B$4+$B$5+$B$6</f>
        <v>3150</v>
      </c>
      <c r="G55" s="21" t="n">
        <f aca="false">D55-C55+E55-F55</f>
        <v>500</v>
      </c>
      <c r="H55" s="21" t="n">
        <f aca="false">H54+G55</f>
        <v>40450</v>
      </c>
      <c r="I55" s="8" t="str">
        <f aca="false">IF(H55&lt;0,"負資產警示","")</f>
        <v/>
      </c>
    </row>
    <row r="56" customFormat="false" ht="15" hidden="false" customHeight="true" outlineLevel="0" collapsed="false">
      <c r="A56" s="8" t="n">
        <v>37</v>
      </c>
      <c r="B56" s="8" t="n">
        <f aca="false">IF(MOD(A56,$B$7)=0,1,0)</f>
        <v>0</v>
      </c>
      <c r="C56" s="21" t="n">
        <f aca="false">B56*$B$2*$B$8</f>
        <v>0</v>
      </c>
      <c r="D56" s="21" t="n">
        <f aca="false">B56*$B$2*$B$9*$B$13*(1-$B$14)</f>
        <v>0</v>
      </c>
      <c r="E56" s="21" t="n">
        <f aca="false">IF(A56=20,-$B$15,0)+IF(A56=35,$B$16,0)</f>
        <v>0</v>
      </c>
      <c r="F56" s="21" t="n">
        <f aca="false">$B$2*$B$4+$B$5+$B$6</f>
        <v>3150</v>
      </c>
      <c r="G56" s="21" t="n">
        <f aca="false">D56-C56+E56-F56</f>
        <v>-3150</v>
      </c>
      <c r="H56" s="21" t="n">
        <f aca="false">H55+G56</f>
        <v>37300</v>
      </c>
      <c r="I56" s="8" t="str">
        <f aca="false">IF(H56&lt;0,"負資產警示","")</f>
        <v/>
      </c>
    </row>
    <row r="57" customFormat="false" ht="15" hidden="false" customHeight="true" outlineLevel="0" collapsed="false">
      <c r="A57" s="8" t="n">
        <v>38</v>
      </c>
      <c r="B57" s="8" t="n">
        <f aca="false">IF(MOD(A57,$B$7)=0,1,0)</f>
        <v>0</v>
      </c>
      <c r="C57" s="21" t="n">
        <f aca="false">B57*$B$2*$B$8</f>
        <v>0</v>
      </c>
      <c r="D57" s="21" t="n">
        <f aca="false">B57*$B$2*$B$9*$B$13*(1-$B$14)</f>
        <v>0</v>
      </c>
      <c r="E57" s="21" t="n">
        <f aca="false">IF(A57=20,-$B$15,0)+IF(A57=35,$B$16,0)</f>
        <v>0</v>
      </c>
      <c r="F57" s="21" t="n">
        <f aca="false">$B$2*$B$4+$B$5+$B$6</f>
        <v>3150</v>
      </c>
      <c r="G57" s="21" t="n">
        <f aca="false">D57-C57+E57-F57</f>
        <v>-3150</v>
      </c>
      <c r="H57" s="21" t="n">
        <f aca="false">H56+G57</f>
        <v>34150</v>
      </c>
      <c r="I57" s="8" t="str">
        <f aca="false">IF(H57&lt;0,"負資產警示","")</f>
        <v/>
      </c>
    </row>
    <row r="58" customFormat="false" ht="15" hidden="false" customHeight="true" outlineLevel="0" collapsed="false">
      <c r="A58" s="8" t="n">
        <v>39</v>
      </c>
      <c r="B58" s="8" t="n">
        <f aca="false">IF(MOD(A58,$B$7)=0,1,0)</f>
        <v>0</v>
      </c>
      <c r="C58" s="21" t="n">
        <f aca="false">B58*$B$2*$B$8</f>
        <v>0</v>
      </c>
      <c r="D58" s="21" t="n">
        <f aca="false">B58*$B$2*$B$9*$B$13*(1-$B$14)</f>
        <v>0</v>
      </c>
      <c r="E58" s="21" t="n">
        <f aca="false">IF(A58=20,-$B$15,0)+IF(A58=35,$B$16,0)</f>
        <v>0</v>
      </c>
      <c r="F58" s="21" t="n">
        <f aca="false">$B$2*$B$4+$B$5+$B$6</f>
        <v>3150</v>
      </c>
      <c r="G58" s="21" t="n">
        <f aca="false">D58-C58+E58-F58</f>
        <v>-3150</v>
      </c>
      <c r="H58" s="21" t="n">
        <f aca="false">H57+G58</f>
        <v>31000</v>
      </c>
      <c r="I58" s="8" t="str">
        <f aca="false">IF(H58&lt;0,"負資產警示","")</f>
        <v/>
      </c>
    </row>
    <row r="59" customFormat="false" ht="15" hidden="false" customHeight="true" outlineLevel="0" collapsed="false">
      <c r="A59" s="8" t="n">
        <v>40</v>
      </c>
      <c r="B59" s="8" t="n">
        <f aca="false">IF(MOD(A59,$B$7)=0,1,0)</f>
        <v>1</v>
      </c>
      <c r="C59" s="21" t="n">
        <f aca="false">B59*$B$2*$B$8</f>
        <v>4000</v>
      </c>
      <c r="D59" s="21" t="n">
        <f aca="false">B59*$B$2*$B$9*$B$13*(1-$B$14)</f>
        <v>7650</v>
      </c>
      <c r="E59" s="21" t="n">
        <f aca="false">IF(A59=20,-$B$15,0)+IF(A59=35,$B$16,0)</f>
        <v>0</v>
      </c>
      <c r="F59" s="21" t="n">
        <f aca="false">$B$2*$B$4+$B$5+$B$6</f>
        <v>3150</v>
      </c>
      <c r="G59" s="21" t="n">
        <f aca="false">D59-C59+E59-F59</f>
        <v>500</v>
      </c>
      <c r="H59" s="21" t="n">
        <f aca="false">H58+G59</f>
        <v>31500</v>
      </c>
      <c r="I59" s="8" t="str">
        <f aca="false">IF(H59&lt;0,"負資產警示","")</f>
        <v/>
      </c>
    </row>
    <row r="60" customFormat="false" ht="15" hidden="false" customHeight="true" outlineLevel="0" collapsed="false">
      <c r="A60" s="8" t="n">
        <v>41</v>
      </c>
      <c r="B60" s="8" t="n">
        <f aca="false">IF(MOD(A60,$B$7)=0,1,0)</f>
        <v>0</v>
      </c>
      <c r="C60" s="21" t="n">
        <f aca="false">B60*$B$2*$B$8</f>
        <v>0</v>
      </c>
      <c r="D60" s="21" t="n">
        <f aca="false">B60*$B$2*$B$9*$B$13*(1-$B$14)</f>
        <v>0</v>
      </c>
      <c r="E60" s="21" t="n">
        <f aca="false">IF(A60=20,-$B$15,0)+IF(A60=35,$B$16,0)</f>
        <v>0</v>
      </c>
      <c r="F60" s="21" t="n">
        <f aca="false">$B$2*$B$4+$B$5+$B$6</f>
        <v>3150</v>
      </c>
      <c r="G60" s="21" t="n">
        <f aca="false">D60-C60+E60-F60</f>
        <v>-3150</v>
      </c>
      <c r="H60" s="21" t="n">
        <f aca="false">H59+G60</f>
        <v>28350</v>
      </c>
      <c r="I60" s="8" t="str">
        <f aca="false">IF(H60&lt;0,"負資產警示","")</f>
        <v/>
      </c>
    </row>
    <row r="61" customFormat="false" ht="15" hidden="false" customHeight="true" outlineLevel="0" collapsed="false">
      <c r="A61" s="8" t="n">
        <v>42</v>
      </c>
      <c r="B61" s="8" t="n">
        <f aca="false">IF(MOD(A61,$B$7)=0,1,0)</f>
        <v>0</v>
      </c>
      <c r="C61" s="21" t="n">
        <f aca="false">B61*$B$2*$B$8</f>
        <v>0</v>
      </c>
      <c r="D61" s="21" t="n">
        <f aca="false">B61*$B$2*$B$9*$B$13*(1-$B$14)</f>
        <v>0</v>
      </c>
      <c r="E61" s="21" t="n">
        <f aca="false">IF(A61=20,-$B$15,0)+IF(A61=35,$B$16,0)</f>
        <v>0</v>
      </c>
      <c r="F61" s="21" t="n">
        <f aca="false">$B$2*$B$4+$B$5+$B$6</f>
        <v>3150</v>
      </c>
      <c r="G61" s="21" t="n">
        <f aca="false">D61-C61+E61-F61</f>
        <v>-3150</v>
      </c>
      <c r="H61" s="21" t="n">
        <f aca="false">H60+G61</f>
        <v>25200</v>
      </c>
      <c r="I61" s="8" t="str">
        <f aca="false">IF(H61&lt;0,"負資產警示","")</f>
        <v/>
      </c>
    </row>
    <row r="62" customFormat="false" ht="15" hidden="false" customHeight="true" outlineLevel="0" collapsed="false">
      <c r="A62" s="8" t="n">
        <v>43</v>
      </c>
      <c r="B62" s="8" t="n">
        <f aca="false">IF(MOD(A62,$B$7)=0,1,0)</f>
        <v>0</v>
      </c>
      <c r="C62" s="21" t="n">
        <f aca="false">B62*$B$2*$B$8</f>
        <v>0</v>
      </c>
      <c r="D62" s="21" t="n">
        <f aca="false">B62*$B$2*$B$9*$B$13*(1-$B$14)</f>
        <v>0</v>
      </c>
      <c r="E62" s="21" t="n">
        <f aca="false">IF(A62=20,-$B$15,0)+IF(A62=35,$B$16,0)</f>
        <v>0</v>
      </c>
      <c r="F62" s="21" t="n">
        <f aca="false">$B$2*$B$4+$B$5+$B$6</f>
        <v>3150</v>
      </c>
      <c r="G62" s="21" t="n">
        <f aca="false">D62-C62+E62-F62</f>
        <v>-3150</v>
      </c>
      <c r="H62" s="21" t="n">
        <f aca="false">H61+G62</f>
        <v>22050</v>
      </c>
      <c r="I62" s="8" t="str">
        <f aca="false">IF(H62&lt;0,"負資產警示","")</f>
        <v/>
      </c>
    </row>
    <row r="63" customFormat="false" ht="15" hidden="false" customHeight="true" outlineLevel="0" collapsed="false">
      <c r="A63" s="8" t="n">
        <v>44</v>
      </c>
      <c r="B63" s="8" t="n">
        <f aca="false">IF(MOD(A63,$B$7)=0,1,0)</f>
        <v>1</v>
      </c>
      <c r="C63" s="21" t="n">
        <f aca="false">B63*$B$2*$B$8</f>
        <v>4000</v>
      </c>
      <c r="D63" s="21" t="n">
        <f aca="false">B63*$B$2*$B$9*$B$13*(1-$B$14)</f>
        <v>7650</v>
      </c>
      <c r="E63" s="21" t="n">
        <f aca="false">IF(A63=20,-$B$15,0)+IF(A63=35,$B$16,0)</f>
        <v>0</v>
      </c>
      <c r="F63" s="21" t="n">
        <f aca="false">$B$2*$B$4+$B$5+$B$6</f>
        <v>3150</v>
      </c>
      <c r="G63" s="21" t="n">
        <f aca="false">D63-C63+E63-F63</f>
        <v>500</v>
      </c>
      <c r="H63" s="21" t="n">
        <f aca="false">H62+G63</f>
        <v>22550</v>
      </c>
      <c r="I63" s="8" t="str">
        <f aca="false">IF(H63&lt;0,"負資產警示","")</f>
        <v/>
      </c>
    </row>
    <row r="64" customFormat="false" ht="15" hidden="false" customHeight="true" outlineLevel="0" collapsed="false">
      <c r="A64" s="8" t="n">
        <v>45</v>
      </c>
      <c r="B64" s="8" t="n">
        <f aca="false">IF(MOD(A64,$B$7)=0,1,0)</f>
        <v>0</v>
      </c>
      <c r="C64" s="21" t="n">
        <f aca="false">B64*$B$2*$B$8</f>
        <v>0</v>
      </c>
      <c r="D64" s="21" t="n">
        <f aca="false">B64*$B$2*$B$9*$B$13*(1-$B$14)</f>
        <v>0</v>
      </c>
      <c r="E64" s="21" t="n">
        <f aca="false">IF(A64=20,-$B$15,0)+IF(A64=35,$B$16,0)</f>
        <v>0</v>
      </c>
      <c r="F64" s="21" t="n">
        <f aca="false">$B$2*$B$4+$B$5+$B$6</f>
        <v>3150</v>
      </c>
      <c r="G64" s="21" t="n">
        <f aca="false">D64-C64+E64-F64</f>
        <v>-3150</v>
      </c>
      <c r="H64" s="21" t="n">
        <f aca="false">H63+G64</f>
        <v>19400</v>
      </c>
      <c r="I64" s="8" t="str">
        <f aca="false">IF(H64&lt;0,"負資產警示","")</f>
        <v/>
      </c>
    </row>
    <row r="65" customFormat="false" ht="15" hidden="false" customHeight="true" outlineLevel="0" collapsed="false">
      <c r="A65" s="8" t="n">
        <v>46</v>
      </c>
      <c r="B65" s="8" t="n">
        <f aca="false">IF(MOD(A65,$B$7)=0,1,0)</f>
        <v>0</v>
      </c>
      <c r="C65" s="21" t="n">
        <f aca="false">B65*$B$2*$B$8</f>
        <v>0</v>
      </c>
      <c r="D65" s="21" t="n">
        <f aca="false">B65*$B$2*$B$9*$B$13*(1-$B$14)</f>
        <v>0</v>
      </c>
      <c r="E65" s="21" t="n">
        <f aca="false">IF(A65=20,-$B$15,0)+IF(A65=35,$B$16,0)</f>
        <v>0</v>
      </c>
      <c r="F65" s="21" t="n">
        <f aca="false">$B$2*$B$4+$B$5+$B$6</f>
        <v>3150</v>
      </c>
      <c r="G65" s="21" t="n">
        <f aca="false">D65-C65+E65-F65</f>
        <v>-3150</v>
      </c>
      <c r="H65" s="21" t="n">
        <f aca="false">H64+G65</f>
        <v>16250</v>
      </c>
      <c r="I65" s="8" t="str">
        <f aca="false">IF(H65&lt;0,"負資產警示","")</f>
        <v/>
      </c>
    </row>
    <row r="66" customFormat="false" ht="15" hidden="false" customHeight="true" outlineLevel="0" collapsed="false">
      <c r="A66" s="8" t="n">
        <v>47</v>
      </c>
      <c r="B66" s="8" t="n">
        <f aca="false">IF(MOD(A66,$B$7)=0,1,0)</f>
        <v>0</v>
      </c>
      <c r="C66" s="21" t="n">
        <f aca="false">B66*$B$2*$B$8</f>
        <v>0</v>
      </c>
      <c r="D66" s="21" t="n">
        <f aca="false">B66*$B$2*$B$9*$B$13*(1-$B$14)</f>
        <v>0</v>
      </c>
      <c r="E66" s="21" t="n">
        <f aca="false">IF(A66=20,-$B$15,0)+IF(A66=35,$B$16,0)</f>
        <v>0</v>
      </c>
      <c r="F66" s="21" t="n">
        <f aca="false">$B$2*$B$4+$B$5+$B$6</f>
        <v>3150</v>
      </c>
      <c r="G66" s="21" t="n">
        <f aca="false">D66-C66+E66-F66</f>
        <v>-3150</v>
      </c>
      <c r="H66" s="21" t="n">
        <f aca="false">H65+G66</f>
        <v>13100</v>
      </c>
      <c r="I66" s="8" t="str">
        <f aca="false">IF(H66&lt;0,"負資產警示","")</f>
        <v/>
      </c>
    </row>
    <row r="67" customFormat="false" ht="15" hidden="false" customHeight="true" outlineLevel="0" collapsed="false">
      <c r="A67" s="8" t="n">
        <v>48</v>
      </c>
      <c r="B67" s="8" t="n">
        <f aca="false">IF(MOD(A67,$B$7)=0,1,0)</f>
        <v>1</v>
      </c>
      <c r="C67" s="21" t="n">
        <f aca="false">B67*$B$2*$B$8</f>
        <v>4000</v>
      </c>
      <c r="D67" s="21" t="n">
        <f aca="false">B67*$B$2*$B$9*$B$13*(1-$B$14)</f>
        <v>7650</v>
      </c>
      <c r="E67" s="21" t="n">
        <f aca="false">IF(A67=20,-$B$15,0)+IF(A67=35,$B$16,0)</f>
        <v>0</v>
      </c>
      <c r="F67" s="21" t="n">
        <f aca="false">$B$2*$B$4+$B$5+$B$6</f>
        <v>3150</v>
      </c>
      <c r="G67" s="21" t="n">
        <f aca="false">D67-C67+E67-F67</f>
        <v>500</v>
      </c>
      <c r="H67" s="21" t="n">
        <f aca="false">H66+G67</f>
        <v>13600</v>
      </c>
      <c r="I67" s="8" t="str">
        <f aca="false">IF(H67&lt;0,"負資產警示","")</f>
        <v/>
      </c>
    </row>
    <row r="68" customFormat="false" ht="15" hidden="false" customHeight="true" outlineLevel="0" collapsed="false">
      <c r="A68" s="8" t="n">
        <v>49</v>
      </c>
      <c r="B68" s="8" t="n">
        <f aca="false">IF(MOD(A68,$B$7)=0,1,0)</f>
        <v>0</v>
      </c>
      <c r="C68" s="21" t="n">
        <f aca="false">B68*$B$2*$B$8</f>
        <v>0</v>
      </c>
      <c r="D68" s="21" t="n">
        <f aca="false">B68*$B$2*$B$9*$B$13*(1-$B$14)</f>
        <v>0</v>
      </c>
      <c r="E68" s="21" t="n">
        <f aca="false">IF(A68=20,-$B$15,0)+IF(A68=35,$B$16,0)</f>
        <v>0</v>
      </c>
      <c r="F68" s="21" t="n">
        <f aca="false">$B$2*$B$4+$B$5+$B$6</f>
        <v>3150</v>
      </c>
      <c r="G68" s="21" t="n">
        <f aca="false">D68-C68+E68-F68</f>
        <v>-3150</v>
      </c>
      <c r="H68" s="21" t="n">
        <f aca="false">H67+G68</f>
        <v>10450</v>
      </c>
      <c r="I68" s="8" t="str">
        <f aca="false">IF(H68&lt;0,"負資產警示","")</f>
        <v/>
      </c>
    </row>
    <row r="69" customFormat="false" ht="15" hidden="false" customHeight="true" outlineLevel="0" collapsed="false">
      <c r="A69" s="8" t="n">
        <v>50</v>
      </c>
      <c r="B69" s="8" t="n">
        <f aca="false">IF(MOD(A69,$B$7)=0,1,0)</f>
        <v>0</v>
      </c>
      <c r="C69" s="21" t="n">
        <f aca="false">B69*$B$2*$B$8</f>
        <v>0</v>
      </c>
      <c r="D69" s="21" t="n">
        <f aca="false">B69*$B$2*$B$9*$B$13*(1-$B$14)</f>
        <v>0</v>
      </c>
      <c r="E69" s="21" t="n">
        <f aca="false">IF(A69=20,-$B$15,0)+IF(A69=35,$B$16,0)</f>
        <v>0</v>
      </c>
      <c r="F69" s="21" t="n">
        <f aca="false">$B$2*$B$4+$B$5+$B$6</f>
        <v>3150</v>
      </c>
      <c r="G69" s="21" t="n">
        <f aca="false">D69-C69+E69-F69</f>
        <v>-3150</v>
      </c>
      <c r="H69" s="21" t="n">
        <f aca="false">H68+G69</f>
        <v>7300</v>
      </c>
      <c r="I69" s="8" t="str">
        <f aca="false">IF(H69&lt;0,"負資產警示","")</f>
        <v/>
      </c>
    </row>
    <row r="70" customFormat="false" ht="15" hidden="false" customHeight="true" outlineLevel="0" collapsed="false">
      <c r="A70" s="8" t="n">
        <v>51</v>
      </c>
      <c r="B70" s="8" t="n">
        <f aca="false">IF(MOD(A70,$B$7)=0,1,0)</f>
        <v>0</v>
      </c>
      <c r="C70" s="21" t="n">
        <f aca="false">B70*$B$2*$B$8</f>
        <v>0</v>
      </c>
      <c r="D70" s="21" t="n">
        <f aca="false">B70*$B$2*$B$9*$B$13*(1-$B$14)</f>
        <v>0</v>
      </c>
      <c r="E70" s="21" t="n">
        <f aca="false">IF(A70=20,-$B$15,0)+IF(A70=35,$B$16,0)</f>
        <v>0</v>
      </c>
      <c r="F70" s="21" t="n">
        <f aca="false">$B$2*$B$4+$B$5+$B$6</f>
        <v>3150</v>
      </c>
      <c r="G70" s="21" t="n">
        <f aca="false">D70-C70+E70-F70</f>
        <v>-3150</v>
      </c>
      <c r="H70" s="21" t="n">
        <f aca="false">H69+G70</f>
        <v>4150</v>
      </c>
      <c r="I70" s="8" t="str">
        <f aca="false">IF(H70&lt;0,"負資產警示","")</f>
        <v/>
      </c>
    </row>
    <row r="71" customFormat="false" ht="15" hidden="false" customHeight="true" outlineLevel="0" collapsed="false">
      <c r="A71" s="8" t="n">
        <v>52</v>
      </c>
      <c r="B71" s="8" t="n">
        <f aca="false">IF(MOD(A71,$B$7)=0,1,0)</f>
        <v>1</v>
      </c>
      <c r="C71" s="21" t="n">
        <f aca="false">B71*$B$2*$B$8</f>
        <v>4000</v>
      </c>
      <c r="D71" s="21" t="n">
        <f aca="false">B71*$B$2*$B$9*$B$13*(1-$B$14)</f>
        <v>7650</v>
      </c>
      <c r="E71" s="21" t="n">
        <f aca="false">IF(A71=20,-$B$15,0)+IF(A71=35,$B$16,0)</f>
        <v>0</v>
      </c>
      <c r="F71" s="21" t="n">
        <f aca="false">$B$2*$B$4+$B$5+$B$6</f>
        <v>3150</v>
      </c>
      <c r="G71" s="21" t="n">
        <f aca="false">D71-C71+E71-F71</f>
        <v>500</v>
      </c>
      <c r="H71" s="21" t="n">
        <f aca="false">H70+G71</f>
        <v>4650</v>
      </c>
      <c r="I71" s="8" t="str">
        <f aca="false">IF(H71&lt;0,"負資產警示","")</f>
        <v/>
      </c>
    </row>
    <row r="73" customFormat="false" ht="15" hidden="false" customHeight="true" outlineLevel="0" collapsed="false">
      <c r="A73" s="10" t="s">
        <v>208</v>
      </c>
    </row>
    <row r="74" customFormat="false" ht="15" hidden="false" customHeight="true" outlineLevel="0" collapsed="false">
      <c r="A74" s="10" t="s">
        <v>209</v>
      </c>
    </row>
    <row r="75" customFormat="false" ht="15" hidden="false" customHeight="true" outlineLevel="0" collapsed="false">
      <c r="A75" s="10" t="s">
        <v>210</v>
      </c>
    </row>
    <row r="76" customFormat="false" ht="15" hidden="false" customHeight="true" outlineLevel="0" collapsed="false">
      <c r="A76" s="10" t="s">
        <v>211</v>
      </c>
    </row>
    <row r="77" customFormat="false" ht="15" hidden="false" customHeight="true" outlineLevel="0" collapsed="false">
      <c r="A77" s="10" t="s">
        <v>212</v>
      </c>
    </row>
    <row r="78" customFormat="false" ht="15" hidden="false" customHeight="true" outlineLevel="0" collapsed="false">
      <c r="A78" s="20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8"/>
    <col collapsed="false" customWidth="true" hidden="false" outlineLevel="0" max="4" min="3" style="1" width="10"/>
    <col collapsed="false" customWidth="true" hidden="false" outlineLevel="0" max="5" min="5" style="1" width="6"/>
    <col collapsed="false" customWidth="true" hidden="false" outlineLevel="0" max="16" min="6" style="1" width="7"/>
    <col collapsed="false" customWidth="true" hidden="false" outlineLevel="0" max="17" min="17" style="1" width="10"/>
    <col collapsed="false" customWidth="true" hidden="false" outlineLevel="0" max="18" min="18" style="1" width="40"/>
  </cols>
  <sheetData>
    <row r="1" customFormat="false" ht="21" hidden="false" customHeight="true" outlineLevel="0" collapsed="false">
      <c r="A1" s="2" t="s">
        <v>214</v>
      </c>
      <c r="F1" s="10" t="s">
        <v>215</v>
      </c>
    </row>
    <row r="3" customFormat="false" ht="16.5" hidden="false" customHeight="true" outlineLevel="0" collapsed="false">
      <c r="A3" s="6" t="s">
        <v>216</v>
      </c>
      <c r="B3" s="6" t="s">
        <v>217</v>
      </c>
      <c r="C3" s="6" t="s">
        <v>218</v>
      </c>
      <c r="D3" s="6" t="s">
        <v>219</v>
      </c>
      <c r="E3" s="6" t="s">
        <v>220</v>
      </c>
      <c r="F3" s="6" t="s">
        <v>74</v>
      </c>
      <c r="G3" s="6" t="s">
        <v>75</v>
      </c>
      <c r="H3" s="6" t="s">
        <v>76</v>
      </c>
      <c r="I3" s="6" t="s">
        <v>77</v>
      </c>
      <c r="J3" s="6" t="s">
        <v>78</v>
      </c>
      <c r="K3" s="6" t="s">
        <v>79</v>
      </c>
      <c r="L3" s="6" t="s">
        <v>56</v>
      </c>
      <c r="M3" s="6" t="s">
        <v>60</v>
      </c>
      <c r="N3" s="6" t="s">
        <v>221</v>
      </c>
      <c r="O3" s="6" t="s">
        <v>81</v>
      </c>
      <c r="P3" s="6" t="s">
        <v>82</v>
      </c>
      <c r="Q3" s="6" t="s">
        <v>222</v>
      </c>
      <c r="R3" s="6" t="s">
        <v>223</v>
      </c>
    </row>
    <row r="4" customFormat="false" ht="15" hidden="false" customHeight="true" outlineLevel="0" collapsed="false">
      <c r="A4" s="17" t="s">
        <v>224</v>
      </c>
      <c r="B4" s="8" t="s">
        <v>225</v>
      </c>
      <c r="C4" s="8" t="s">
        <v>71</v>
      </c>
      <c r="D4" s="8" t="s">
        <v>71</v>
      </c>
      <c r="E4" s="11" t="s">
        <v>226</v>
      </c>
      <c r="F4" s="22"/>
      <c r="G4" s="12" t="n">
        <v>78</v>
      </c>
      <c r="H4" s="12" t="n">
        <v>70</v>
      </c>
      <c r="I4" s="12" t="n">
        <v>75</v>
      </c>
      <c r="J4" s="12" t="n">
        <v>68</v>
      </c>
      <c r="K4" s="12" t="n">
        <v>72</v>
      </c>
      <c r="L4" s="12" t="n">
        <v>65</v>
      </c>
      <c r="M4" s="12" t="n">
        <v>70</v>
      </c>
      <c r="N4" s="12" t="n">
        <v>66</v>
      </c>
      <c r="O4" s="12" t="n">
        <v>60</v>
      </c>
      <c r="P4" s="12" t="n">
        <v>68</v>
      </c>
      <c r="Q4" s="12" t="n">
        <v>80</v>
      </c>
      <c r="R4" s="23" t="s">
        <v>227</v>
      </c>
    </row>
    <row r="5" customFormat="false" ht="15" hidden="false" customHeight="true" outlineLevel="0" collapsed="false">
      <c r="A5" s="17" t="s">
        <v>228</v>
      </c>
      <c r="B5" s="8" t="s">
        <v>225</v>
      </c>
      <c r="C5" s="8" t="s">
        <v>71</v>
      </c>
      <c r="D5" s="8" t="s">
        <v>71</v>
      </c>
      <c r="E5" s="11" t="s">
        <v>226</v>
      </c>
      <c r="F5" s="22"/>
      <c r="G5" s="12" t="n">
        <v>72</v>
      </c>
      <c r="H5" s="12" t="n">
        <v>80</v>
      </c>
      <c r="I5" s="12" t="n">
        <v>68</v>
      </c>
      <c r="J5" s="12" t="n">
        <v>60</v>
      </c>
      <c r="K5" s="12" t="n">
        <v>78</v>
      </c>
      <c r="L5" s="12" t="n">
        <v>70</v>
      </c>
      <c r="M5" s="12" t="n">
        <v>65</v>
      </c>
      <c r="N5" s="12" t="n">
        <v>72</v>
      </c>
      <c r="O5" s="12" t="n">
        <v>62</v>
      </c>
      <c r="P5" s="12" t="n">
        <v>74</v>
      </c>
      <c r="Q5" s="12" t="n">
        <v>78</v>
      </c>
      <c r="R5" s="23" t="s">
        <v>229</v>
      </c>
    </row>
    <row r="6" customFormat="false" ht="15" hidden="false" customHeight="true" outlineLevel="0" collapsed="false">
      <c r="A6" s="17" t="s">
        <v>230</v>
      </c>
      <c r="B6" s="8" t="s">
        <v>231</v>
      </c>
      <c r="C6" s="8" t="s">
        <v>71</v>
      </c>
      <c r="D6" s="8" t="s">
        <v>71</v>
      </c>
      <c r="E6" s="11" t="s">
        <v>226</v>
      </c>
      <c r="F6" s="22"/>
      <c r="G6" s="12" t="n">
        <v>75</v>
      </c>
      <c r="H6" s="12" t="n">
        <v>68</v>
      </c>
      <c r="I6" s="12" t="n">
        <v>82</v>
      </c>
      <c r="J6" s="12" t="n">
        <v>74</v>
      </c>
      <c r="K6" s="12" t="n">
        <v>66</v>
      </c>
      <c r="L6" s="12" t="n">
        <v>72</v>
      </c>
      <c r="M6" s="12" t="n">
        <v>78</v>
      </c>
      <c r="N6" s="12" t="n">
        <v>70</v>
      </c>
      <c r="O6" s="12" t="n">
        <v>68</v>
      </c>
      <c r="P6" s="12" t="n">
        <v>65</v>
      </c>
      <c r="Q6" s="12" t="n">
        <v>82</v>
      </c>
      <c r="R6" s="23" t="s">
        <v>232</v>
      </c>
    </row>
    <row r="7" customFormat="false" ht="16.5" hidden="false" customHeight="true" outlineLevel="0" collapsed="false">
      <c r="A7" s="17" t="s">
        <v>233</v>
      </c>
      <c r="B7" s="8" t="s">
        <v>231</v>
      </c>
      <c r="C7" s="8" t="str">
        <f aca="false">A4</f>
        <v>父馬</v>
      </c>
      <c r="D7" s="8" t="str">
        <f aca="false">A5</f>
        <v>母馬</v>
      </c>
      <c r="E7" s="11" t="s">
        <v>226</v>
      </c>
      <c r="F7" s="22"/>
      <c r="G7" s="8" t="n">
        <f aca="true">MIN(100,MAX(0,ROUND(AVERAGE(G4,G5)+(RAND()-0.5)*8,0)))</f>
        <v>72</v>
      </c>
      <c r="H7" s="8" t="n">
        <f aca="true">MIN(100,MAX(0,ROUND(AVERAGE(H4,H5)+(RAND()-0.5)*8,0)))</f>
        <v>73</v>
      </c>
      <c r="I7" s="8" t="n">
        <f aca="true">MIN(100,MAX(0,ROUND(AVERAGE(I4,I5)+(RAND()-0.5)*8,0)))</f>
        <v>74</v>
      </c>
      <c r="J7" s="8" t="n">
        <f aca="true">MIN(100,MAX(0,ROUND(AVERAGE(J4,J5)+(RAND()-0.5)*8,0)))</f>
        <v>62</v>
      </c>
      <c r="K7" s="8" t="n">
        <f aca="true">MIN(100,MAX(0,ROUND(AVERAGE(K4,K5)+(RAND()-0.5)*8,0)))</f>
        <v>77</v>
      </c>
      <c r="L7" s="8" t="n">
        <f aca="true">MIN(100,MAX(0,ROUND(AVERAGE(L4,L5)+(RAND()-0.5)*8,0)))</f>
        <v>65</v>
      </c>
      <c r="M7" s="8" t="n">
        <f aca="true">MIN(100,MAX(0,ROUND(AVERAGE(M4,M5)+(RAND()-0.5)*8,0)))</f>
        <v>71</v>
      </c>
      <c r="N7" s="8" t="n">
        <f aca="true">MIN(100,MAX(0,ROUND(AVERAGE(N4,N5)+(RAND()-0.5)*8,0)))</f>
        <v>72</v>
      </c>
      <c r="O7" s="8" t="n">
        <f aca="true">MIN(100,MAX(0,ROUND(AVERAGE(O4,O5)+(RAND()-0.5)*8,0)))</f>
        <v>62</v>
      </c>
      <c r="P7" s="8" t="n">
        <f aca="true">MIN(100,MAX(0,ROUND(AVERAGE(P4,P5)+(RAND()-0.5)*8,0)))</f>
        <v>71</v>
      </c>
      <c r="Q7" s="8" t="n">
        <f aca="true">MIN(100,MAX(0,ROUND(AVERAGE(Q4,Q5)+RAND()*20-8-0,0)))</f>
        <v>71</v>
      </c>
      <c r="R7" s="23" t="s">
        <v>234</v>
      </c>
    </row>
    <row r="8" customFormat="false" ht="16.5" hidden="false" customHeight="true" outlineLevel="0" collapsed="false">
      <c r="A8" s="17" t="s">
        <v>235</v>
      </c>
      <c r="B8" s="8" t="s">
        <v>231</v>
      </c>
      <c r="C8" s="8" t="str">
        <f aca="false">A4</f>
        <v>父馬</v>
      </c>
      <c r="D8" s="8" t="str">
        <f aca="false">A5</f>
        <v>母馬</v>
      </c>
      <c r="E8" s="11" t="s">
        <v>226</v>
      </c>
      <c r="F8" s="22"/>
      <c r="G8" s="8" t="n">
        <f aca="true">MIN(100,MAX(0,ROUND(AVERAGE(G4,G5)+(RAND()-0.5)*8,0)))</f>
        <v>73</v>
      </c>
      <c r="H8" s="8" t="n">
        <f aca="true">MIN(100,MAX(0,ROUND(AVERAGE(H4,H5)+(RAND()-0.5)*8,0)))</f>
        <v>77</v>
      </c>
      <c r="I8" s="8" t="n">
        <f aca="true">MIN(100,MAX(0,ROUND(AVERAGE(I4,I5)+(RAND()-0.5)*8,0)))</f>
        <v>70</v>
      </c>
      <c r="J8" s="8" t="n">
        <f aca="true">MIN(100,MAX(0,ROUND(AVERAGE(J4,J5)+(RAND()-0.5)*8,0)))</f>
        <v>65</v>
      </c>
      <c r="K8" s="8" t="n">
        <f aca="true">MIN(100,MAX(0,ROUND(AVERAGE(K4,K5)+(RAND()-0.5)*8,0)))</f>
        <v>74</v>
      </c>
      <c r="L8" s="8" t="n">
        <f aca="true">MIN(100,MAX(0,ROUND(AVERAGE(L4,L5)+(RAND()-0.5)*8,0)))</f>
        <v>64</v>
      </c>
      <c r="M8" s="8" t="n">
        <f aca="true">MIN(100,MAX(0,ROUND(AVERAGE(M4,M5)+(RAND()-0.5)*8,0)))</f>
        <v>69</v>
      </c>
      <c r="N8" s="8" t="n">
        <f aca="true">MIN(100,MAX(0,ROUND(AVERAGE(N4,N5)+(RAND()-0.5)*8,0)))</f>
        <v>66</v>
      </c>
      <c r="O8" s="8" t="n">
        <f aca="true">MIN(100,MAX(0,ROUND(AVERAGE(O4,O5)+(RAND()-0.5)*8,0)))</f>
        <v>61</v>
      </c>
      <c r="P8" s="8" t="n">
        <f aca="true">MIN(100,MAX(0,ROUND(AVERAGE(P4,P5)+(RAND()-0.5)*8,0)))</f>
        <v>68</v>
      </c>
      <c r="Q8" s="8" t="n">
        <f aca="true">MIN(100,MAX(0,ROUND(AVERAGE(Q4,Q5)+RAND()*20-8-0,0)))</f>
        <v>82</v>
      </c>
      <c r="R8" s="23" t="s">
        <v>236</v>
      </c>
    </row>
    <row r="9" customFormat="false" ht="16.5" hidden="false" customHeight="true" outlineLevel="0" collapsed="false">
      <c r="A9" s="17" t="s">
        <v>237</v>
      </c>
      <c r="B9" s="8" t="s">
        <v>238</v>
      </c>
      <c r="C9" s="8" t="str">
        <f aca="false">A7</f>
        <v>子代A</v>
      </c>
      <c r="D9" s="8" t="str">
        <f aca="false">A6</f>
        <v>外部種馬</v>
      </c>
      <c r="E9" s="11" t="s">
        <v>226</v>
      </c>
      <c r="F9" s="22"/>
      <c r="G9" s="8" t="n">
        <f aca="true">MIN(100,MAX(0,ROUND(AVERAGE(G7,G6)+(RAND()-0.5)*8,0)))</f>
        <v>76</v>
      </c>
      <c r="H9" s="8" t="n">
        <f aca="true">MIN(100,MAX(0,ROUND(AVERAGE(H7,H6)+(RAND()-0.5)*8,0)))</f>
        <v>70</v>
      </c>
      <c r="I9" s="8" t="n">
        <f aca="true">MIN(100,MAX(0,ROUND(AVERAGE(I7,I6)+(RAND()-0.5)*8,0)))</f>
        <v>77</v>
      </c>
      <c r="J9" s="8" t="n">
        <f aca="true">MIN(100,MAX(0,ROUND(AVERAGE(J7,J6)+(RAND()-0.5)*8,0)))</f>
        <v>67</v>
      </c>
      <c r="K9" s="8" t="n">
        <f aca="true">MIN(100,MAX(0,ROUND(AVERAGE(K7,K6)+(RAND()-0.5)*8,0)))</f>
        <v>71</v>
      </c>
      <c r="L9" s="8" t="n">
        <f aca="true">MIN(100,MAX(0,ROUND(AVERAGE(L7,L6)+(RAND()-0.5)*8,0)))</f>
        <v>66</v>
      </c>
      <c r="M9" s="8" t="n">
        <f aca="true">MIN(100,MAX(0,ROUND(AVERAGE(M7,M6)+(RAND()-0.5)*8,0)))</f>
        <v>76</v>
      </c>
      <c r="N9" s="8" t="n">
        <f aca="true">MIN(100,MAX(0,ROUND(AVERAGE(N7,N6)+(RAND()-0.5)*8,0)))</f>
        <v>70</v>
      </c>
      <c r="O9" s="8" t="n">
        <f aca="true">MIN(100,MAX(0,ROUND(AVERAGE(O7,O6)+(RAND()-0.5)*8,0)))</f>
        <v>67</v>
      </c>
      <c r="P9" s="8" t="n">
        <f aca="true">MIN(100,MAX(0,ROUND(AVERAGE(P7,P6)+(RAND()-0.5)*8,0)))</f>
        <v>65</v>
      </c>
      <c r="Q9" s="8" t="n">
        <f aca="true">MIN(100,MAX(0,ROUND(AVERAGE(Q7,Q6)+RAND()*20-8-0,0)))</f>
        <v>84</v>
      </c>
      <c r="R9" s="23" t="s">
        <v>239</v>
      </c>
    </row>
    <row r="10" customFormat="false" ht="16.5" hidden="false" customHeight="true" outlineLevel="0" collapsed="false">
      <c r="A10" s="17" t="s">
        <v>240</v>
      </c>
      <c r="B10" s="8" t="s">
        <v>238</v>
      </c>
      <c r="C10" s="8" t="str">
        <f aca="false">A7</f>
        <v>子代A</v>
      </c>
      <c r="D10" s="8" t="str">
        <f aca="false">A8</f>
        <v>子代B</v>
      </c>
      <c r="E10" s="11" t="s">
        <v>241</v>
      </c>
      <c r="F10" s="22"/>
      <c r="G10" s="8" t="n">
        <f aca="true">MIN(100,MAX(0,ROUND(AVERAGE(G7,G8)+(RAND()-0.5)*8,0)))</f>
        <v>73</v>
      </c>
      <c r="H10" s="8" t="n">
        <f aca="true">MIN(100,MAX(0,ROUND(AVERAGE(H7,H8)+(RAND()-0.5)*8,0)))</f>
        <v>77</v>
      </c>
      <c r="I10" s="8" t="n">
        <f aca="true">MIN(100,MAX(0,ROUND(AVERAGE(I7,I8)+(RAND()-0.5)*8,0)))</f>
        <v>68</v>
      </c>
      <c r="J10" s="8" t="n">
        <f aca="true">MIN(100,MAX(0,ROUND(AVERAGE(J7,J8)+(RAND()-0.5)*8,0)))</f>
        <v>65</v>
      </c>
      <c r="K10" s="8" t="n">
        <f aca="true">MIN(100,MAX(0,ROUND(AVERAGE(K7,K8)+(RAND()-0.5)*8,0)))</f>
        <v>78</v>
      </c>
      <c r="L10" s="8" t="n">
        <f aca="true">MIN(100,MAX(0,ROUND(AVERAGE(L7,L8)+(RAND()-0.5)*8,0)))</f>
        <v>64</v>
      </c>
      <c r="M10" s="8" t="n">
        <f aca="true">MIN(100,MAX(0,ROUND(AVERAGE(M7,M8)+(RAND()-0.5)*8,0)))</f>
        <v>71</v>
      </c>
      <c r="N10" s="8" t="n">
        <f aca="true">MIN(100,MAX(0,ROUND(AVERAGE(N7,N8)+(RAND()-0.5)*8,0)))</f>
        <v>65</v>
      </c>
      <c r="O10" s="8" t="n">
        <f aca="true">MIN(100,MAX(0,ROUND(AVERAGE(O7,O8)+(RAND()-0.5)*8,0)))</f>
        <v>63</v>
      </c>
      <c r="P10" s="8" t="n">
        <f aca="true">MIN(100,MAX(0,ROUND(AVERAGE(P7,P8)+(RAND()-0.5)*8,0)))</f>
        <v>72</v>
      </c>
      <c r="Q10" s="8" t="n">
        <f aca="true">MIN(100,MAX(0,ROUND(AVERAGE(Q7,Q8)+RAND()*20-8-15,0)))</f>
        <v>56</v>
      </c>
      <c r="R10" s="23" t="s">
        <v>242</v>
      </c>
    </row>
    <row r="12" customFormat="false" ht="15" hidden="false" customHeight="true" outlineLevel="0" collapsed="false">
      <c r="A12" s="15" t="s">
        <v>243</v>
      </c>
      <c r="B12" s="24" t="s">
        <v>225</v>
      </c>
      <c r="C12" s="24" t="n">
        <f aca="false">AVERAGE(Q4,Q5)</f>
        <v>79</v>
      </c>
    </row>
    <row r="13" customFormat="false" ht="15" hidden="false" customHeight="true" outlineLevel="0" collapsed="false">
      <c r="B13" s="24" t="s">
        <v>231</v>
      </c>
      <c r="C13" s="24" t="n">
        <f aca="false">AVERAGE(Q7,Q8)</f>
        <v>76.5</v>
      </c>
    </row>
    <row r="14" customFormat="false" ht="16.5" hidden="false" customHeight="true" outlineLevel="0" collapsed="false">
      <c r="B14" s="24" t="s">
        <v>244</v>
      </c>
      <c r="C14" s="24" t="n">
        <f aca="false">Q9</f>
        <v>84</v>
      </c>
    </row>
    <row r="15" customFormat="false" ht="16.5" hidden="false" customHeight="true" outlineLevel="0" collapsed="false">
      <c r="B15" s="24" t="s">
        <v>245</v>
      </c>
      <c r="C15" s="24" t="n">
        <f aca="false">Q10</f>
        <v>56</v>
      </c>
    </row>
    <row r="17" customFormat="false" ht="15" hidden="false" customHeight="true" outlineLevel="0" collapsed="false">
      <c r="A17" s="10" t="s">
        <v>246</v>
      </c>
    </row>
    <row r="18" customFormat="false" ht="15" hidden="false" customHeight="true" outlineLevel="0" collapsed="false">
      <c r="A18" s="10" t="s">
        <v>247</v>
      </c>
    </row>
    <row r="19" customFormat="false" ht="15" hidden="false" customHeight="true" outlineLevel="0" collapsed="false">
      <c r="A19" s="10" t="s">
        <v>248</v>
      </c>
    </row>
    <row r="20" customFormat="false" ht="15" hidden="false" customHeight="true" outlineLevel="0" collapsed="false">
      <c r="A20" s="20" t="s">
        <v>249</v>
      </c>
    </row>
    <row r="21" customFormat="false" ht="15" hidden="false" customHeight="true" outlineLevel="0" collapsed="false">
      <c r="A21" s="10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2026-08-21T08:58:39Z</dcterms:created>
  <dc:creator>openpyxl</dc:creator>
  <dc:description/>
  <dc:language>en-US</dc:language>
  <cp:lastModifiedBy/>
  <dcterms:modified xsi:type="dcterms:W3CDTF">2026-08-21T08:59:06Z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